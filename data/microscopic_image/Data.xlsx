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62D52329-D556-46BB-B091-DBABE7058771}" xr6:coauthVersionLast="38" xr6:coauthVersionMax="38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Modified_Sheet3" sheetId="5" r:id="rId2"/>
    <sheet name="Modified_Sheet2" sheetId="4" r:id="rId3"/>
    <sheet name="Modified_Sheet1" sheetId="3" r:id="rId4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U17" i="5" l="1"/>
  <c r="T17" i="5"/>
  <c r="S17" i="5"/>
  <c r="U16" i="5"/>
  <c r="T16" i="5"/>
  <c r="S16" i="5"/>
  <c r="U15" i="5"/>
  <c r="T15" i="5"/>
  <c r="S15" i="5"/>
  <c r="U14" i="5"/>
  <c r="T14" i="5"/>
  <c r="S14" i="5"/>
  <c r="Y13" i="5"/>
  <c r="X13" i="5"/>
  <c r="W13" i="5"/>
  <c r="U13" i="5"/>
  <c r="T13" i="5"/>
  <c r="S13" i="5"/>
  <c r="Y12" i="5"/>
  <c r="X12" i="5"/>
  <c r="W12" i="5"/>
  <c r="U12" i="5"/>
  <c r="T12" i="5"/>
  <c r="S12" i="5"/>
  <c r="Y11" i="5"/>
  <c r="X11" i="5"/>
  <c r="W11" i="5"/>
  <c r="U11" i="5"/>
  <c r="T11" i="5"/>
  <c r="S11" i="5"/>
  <c r="Y10" i="5"/>
  <c r="X10" i="5"/>
  <c r="W10" i="5"/>
  <c r="U10" i="5"/>
  <c r="T10" i="5"/>
  <c r="S10" i="5"/>
  <c r="Y9" i="5"/>
  <c r="X9" i="5"/>
  <c r="W9" i="5"/>
  <c r="U9" i="5"/>
  <c r="T9" i="5"/>
  <c r="S9" i="5"/>
  <c r="Y8" i="5"/>
  <c r="X8" i="5"/>
  <c r="W8" i="5"/>
  <c r="U8" i="5"/>
  <c r="T8" i="5"/>
  <c r="S8" i="5"/>
  <c r="Y7" i="5"/>
  <c r="X7" i="5"/>
  <c r="W7" i="5"/>
  <c r="U7" i="5"/>
  <c r="T7" i="5"/>
  <c r="S7" i="5"/>
  <c r="Y6" i="5"/>
  <c r="X6" i="5"/>
  <c r="W6" i="5"/>
  <c r="U6" i="5"/>
  <c r="T6" i="5"/>
  <c r="S6" i="5"/>
  <c r="Y5" i="5"/>
  <c r="X5" i="5"/>
  <c r="W5" i="5"/>
  <c r="U5" i="5"/>
  <c r="T5" i="5"/>
  <c r="S5" i="5"/>
  <c r="Y4" i="5"/>
  <c r="X4" i="5"/>
  <c r="W4" i="5"/>
  <c r="U4" i="5"/>
  <c r="T4" i="5"/>
  <c r="S4" i="5"/>
  <c r="X24" i="4" l="1"/>
  <c r="W24" i="4"/>
  <c r="V24" i="4"/>
  <c r="X23" i="4"/>
  <c r="W23" i="4"/>
  <c r="V23" i="4"/>
  <c r="X22" i="4"/>
  <c r="W22" i="4"/>
  <c r="V22" i="4"/>
  <c r="X18" i="4"/>
  <c r="W18" i="4"/>
  <c r="V18" i="4"/>
  <c r="AB17" i="4"/>
  <c r="AA17" i="4"/>
  <c r="Z17" i="4"/>
  <c r="X17" i="4"/>
  <c r="W17" i="4"/>
  <c r="V17" i="4"/>
  <c r="AB16" i="4"/>
  <c r="AA16" i="4"/>
  <c r="Z16" i="4"/>
  <c r="X16" i="4"/>
  <c r="W16" i="4"/>
  <c r="V16" i="4"/>
  <c r="AB13" i="4"/>
  <c r="AA13" i="4"/>
  <c r="Z13" i="4"/>
  <c r="X13" i="4"/>
  <c r="W13" i="4"/>
  <c r="V13" i="4"/>
  <c r="AB12" i="4"/>
  <c r="AA12" i="4"/>
  <c r="Z12" i="4"/>
  <c r="X12" i="4"/>
  <c r="W12" i="4"/>
  <c r="V12" i="4"/>
  <c r="AB11" i="4"/>
  <c r="AA11" i="4"/>
  <c r="Z11" i="4"/>
  <c r="X11" i="4"/>
  <c r="W11" i="4"/>
  <c r="V11" i="4"/>
  <c r="AB10" i="4"/>
  <c r="AA10" i="4"/>
  <c r="Z10" i="4"/>
  <c r="X10" i="4"/>
  <c r="W10" i="4"/>
  <c r="V10" i="4"/>
  <c r="AB7" i="4"/>
  <c r="AA7" i="4"/>
  <c r="Z7" i="4"/>
  <c r="X7" i="4"/>
  <c r="W7" i="4"/>
  <c r="V7" i="4"/>
  <c r="AB6" i="4"/>
  <c r="AA6" i="4"/>
  <c r="Z6" i="4"/>
  <c r="X6" i="4"/>
  <c r="W6" i="4"/>
  <c r="V6" i="4"/>
  <c r="AB5" i="4"/>
  <c r="AA5" i="4"/>
  <c r="Z5" i="4"/>
  <c r="X5" i="4"/>
  <c r="W5" i="4"/>
  <c r="V5" i="4"/>
  <c r="AB4" i="4"/>
  <c r="AA4" i="4"/>
  <c r="Z4" i="4"/>
  <c r="X4" i="4"/>
  <c r="W4" i="4"/>
  <c r="V4" i="4"/>
  <c r="AB13" i="3" l="1"/>
  <c r="AA13" i="3"/>
  <c r="Z13" i="3"/>
  <c r="AB12" i="3"/>
  <c r="AA12" i="3"/>
  <c r="Z5" i="3"/>
  <c r="AA5" i="3"/>
  <c r="AB5" i="3"/>
  <c r="Z6" i="3"/>
  <c r="AA6" i="3"/>
  <c r="AB6" i="3"/>
  <c r="Z7" i="3"/>
  <c r="AA7" i="3"/>
  <c r="AB7" i="3"/>
  <c r="Z8" i="3"/>
  <c r="AA8" i="3"/>
  <c r="AB8" i="3"/>
  <c r="Z9" i="3"/>
  <c r="AA9" i="3"/>
  <c r="AB9" i="3"/>
  <c r="Z10" i="3"/>
  <c r="AA10" i="3"/>
  <c r="AB10" i="3"/>
  <c r="Z11" i="3"/>
  <c r="AA11" i="3"/>
  <c r="AB11" i="3"/>
  <c r="AB4" i="3"/>
  <c r="Z12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Z4" i="3" l="1"/>
  <c r="AA4" i="3"/>
  <c r="X5" i="3"/>
  <c r="X6" i="3"/>
  <c r="X7" i="3"/>
  <c r="X8" i="3"/>
  <c r="X9" i="3"/>
  <c r="X10" i="3"/>
  <c r="X11" i="3"/>
  <c r="X4" i="3"/>
  <c r="W5" i="3"/>
  <c r="W6" i="3"/>
  <c r="W7" i="3"/>
  <c r="W8" i="3"/>
  <c r="W9" i="3"/>
  <c r="W10" i="3"/>
  <c r="W11" i="3"/>
  <c r="W4" i="3"/>
  <c r="V5" i="3"/>
  <c r="V6" i="3"/>
  <c r="V7" i="3"/>
  <c r="V8" i="3"/>
  <c r="V9" i="3"/>
  <c r="V10" i="3"/>
  <c r="V11" i="3"/>
  <c r="V4" i="3"/>
</calcChain>
</file>

<file path=xl/sharedStrings.xml><?xml version="1.0" encoding="utf-8"?>
<sst xmlns="http://schemas.openxmlformats.org/spreadsheetml/2006/main" count="194" uniqueCount="77">
  <si>
    <t>Exp No</t>
  </si>
  <si>
    <t>Poly</t>
  </si>
  <si>
    <t>Conc</t>
  </si>
  <si>
    <t>&lt;10 min</t>
  </si>
  <si>
    <t>1hr</t>
  </si>
  <si>
    <t>Mean</t>
  </si>
  <si>
    <t>d10</t>
  </si>
  <si>
    <t>d50</t>
  </si>
  <si>
    <t>d90</t>
  </si>
  <si>
    <t>HPMC-E3</t>
  </si>
  <si>
    <t>HPC-SL</t>
  </si>
  <si>
    <t xml:space="preserve">Screening Study: </t>
  </si>
  <si>
    <t>1) Polymer and Polymer Concentration Optimization (Solvent-Acetone):</t>
  </si>
  <si>
    <r>
      <t>Formulation:</t>
    </r>
    <r>
      <rPr>
        <sz val="11"/>
        <color theme="1"/>
        <rFont val="Calibri"/>
        <family val="2"/>
        <scheme val="minor"/>
      </rPr>
      <t xml:space="preserve">  FNB (0.32%), Solvent: Acetone, Anti-Solvent: Water, No surfactant, 1min sonication.</t>
    </r>
  </si>
  <si>
    <t xml:space="preserve">2) Surfactant and Surfactant Concentration Optimization (Solvent-Acetone): </t>
  </si>
  <si>
    <r>
      <t>Formulation:</t>
    </r>
    <r>
      <rPr>
        <sz val="11"/>
        <color theme="1"/>
        <rFont val="Calibri"/>
        <family val="2"/>
        <scheme val="minor"/>
      </rPr>
      <t xml:space="preserve">  FNB (0.32%), Polymer: HPMC E-3 (25% wrt API), Solvent: Acetone, Anti-Solvent: Water, 1min sonication.</t>
    </r>
  </si>
  <si>
    <t xml:space="preserve">Surf </t>
  </si>
  <si>
    <t>After 2 Days</t>
  </si>
  <si>
    <t>D10</t>
  </si>
  <si>
    <t>D50</t>
  </si>
  <si>
    <t>D90</t>
  </si>
  <si>
    <t>SDS</t>
  </si>
  <si>
    <t>T-80</t>
  </si>
  <si>
    <t>CTAB</t>
  </si>
  <si>
    <t>PF-68</t>
  </si>
  <si>
    <t>PF-127</t>
  </si>
  <si>
    <t>Poloxamer-188</t>
  </si>
  <si>
    <t>Na-Alginate</t>
  </si>
  <si>
    <t xml:space="preserve">Findings in Brief:  </t>
  </si>
  <si>
    <t>Pass: SDS, CTAB, PF-68, Polo-188, and Na-Alginate.</t>
  </si>
  <si>
    <t>Fail: T-80, PF-127, and Poloxamer-188 (50%).</t>
  </si>
  <si>
    <t>3) Polymer and Polymer Concentration Optimization (Solvent-Et-OH):</t>
  </si>
  <si>
    <r>
      <t>Formulation:</t>
    </r>
    <r>
      <rPr>
        <sz val="11"/>
        <color theme="1"/>
        <rFont val="Calibri"/>
        <family val="2"/>
        <scheme val="minor"/>
      </rPr>
      <t xml:space="preserve">  FNB (0.32%), Solvent: Ethanol, Anti-Solvent: Water, No surfactant, 1min sonication.</t>
    </r>
  </si>
  <si>
    <t>% wrt API</t>
  </si>
  <si>
    <t>Findings: 25% HPC -SL is better for stability.</t>
  </si>
  <si>
    <t xml:space="preserve">4) Surfactant and Surfactant Concentration Optimization (Solvent-Et-OH): </t>
  </si>
  <si>
    <r>
      <t>Formulation:</t>
    </r>
    <r>
      <rPr>
        <sz val="11"/>
        <color theme="1"/>
        <rFont val="Calibri"/>
        <family val="2"/>
        <scheme val="minor"/>
      </rPr>
      <t xml:space="preserve">  FNB (0.32%), Polymer: HPC -SL (25% wrt API), Solvent: Ethanol, Anti-Solvent: Water.</t>
    </r>
  </si>
  <si>
    <t>Pass: Na-Alg, SDS (10%), PF-68 (10, 50%), Polo-188 (10, 50%).</t>
  </si>
  <si>
    <t>Fail: T-80, CTAB, PF-127, SDS (1, 50%), Polo-188 (25%), and PF-68 (1%).</t>
  </si>
  <si>
    <t xml:space="preserve">5) Check the reproducibility of sonication bath: </t>
  </si>
  <si>
    <t>Exp-23 (R):  FNB (0.32%), Polymer: HPMC-E3 (25% wrt API), Surfactant: SDS (25%), Solvent: Acetone, Anti-Solvent: Water.</t>
  </si>
  <si>
    <t>Exp-69(R): FNB (0.32%), Polymer: HPC-SL (25% wrt API), Na-Alg (50%), And Solvent: Et-OH, Anti-Solvent: Water.</t>
  </si>
  <si>
    <t>23(R)</t>
  </si>
  <si>
    <t>69(R)</t>
  </si>
  <si>
    <t>6) Screening of stabilizer combinations for Acetone:</t>
  </si>
  <si>
    <r>
      <t>Formulation:</t>
    </r>
    <r>
      <rPr>
        <sz val="11"/>
        <color theme="1"/>
        <rFont val="Calibri"/>
        <family val="2"/>
        <scheme val="minor"/>
      </rPr>
      <t xml:space="preserve">  </t>
    </r>
  </si>
  <si>
    <t>i) FNB (0.32%), Polymer-HPMC E-3 (25% wrt API), and Solvent: Acetone, Anti-Solvent: Water.</t>
  </si>
  <si>
    <t>Surfactant Combinations:</t>
  </si>
  <si>
    <t>74) Na-Alginate (50%) +SDS (25%)</t>
  </si>
  <si>
    <t xml:space="preserve">75) Polo-188 (25%) + SDS (25%) </t>
  </si>
  <si>
    <t xml:space="preserve">76) PF-68 (50%) +T-80 (1.5 ml/gm) </t>
  </si>
  <si>
    <t>77) PEG (4000) (25%) +SDS (25%)</t>
  </si>
  <si>
    <t>78) PVP (100%) + PF-68 (50%)*</t>
  </si>
  <si>
    <t>* No HPMC used</t>
  </si>
  <si>
    <t>P/F</t>
  </si>
  <si>
    <t>0.365,1.70,5.17</t>
  </si>
  <si>
    <t>0.317,1.45,3.35</t>
  </si>
  <si>
    <t>0.337,1.30,3.02</t>
  </si>
  <si>
    <t>1.28,3.01,8.2</t>
  </si>
  <si>
    <t>8) Screening of stabilizer combinations for Et-OH:</t>
  </si>
  <si>
    <t>ii) FNB (0.32%), Polymer-HPC-SL (25% wrt API), and solvent: ethanol, Anti-Solvent: Water.</t>
  </si>
  <si>
    <t>79) Na-Alginate (50%) +PF68 (10%)</t>
  </si>
  <si>
    <t xml:space="preserve">80) PF-68 (50%) +T-80 (0.0015 ml/mg) </t>
  </si>
  <si>
    <t>81) PEG (4000) (25%) +SDS (25%)</t>
  </si>
  <si>
    <t>82) PVP (100%) + PF-68 (50%)*</t>
  </si>
  <si>
    <t>* No HPC used</t>
  </si>
  <si>
    <t>1.1,1.42,1.79</t>
  </si>
  <si>
    <t>0.964,1.20,1.48</t>
  </si>
  <si>
    <t>1 hr</t>
  </si>
  <si>
    <t>2 days</t>
  </si>
  <si>
    <t>DOSS</t>
  </si>
  <si>
    <t>FNB</t>
  </si>
  <si>
    <t>ratio w.r.t &lt;10 min</t>
  </si>
  <si>
    <t>AC-HPMC-E3</t>
  </si>
  <si>
    <t>AC-HPC - SL</t>
  </si>
  <si>
    <t>Et-HPMC-E3</t>
  </si>
  <si>
    <t>Et-HPC -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</si>
</sst>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00FF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1"/>
      <color rgb="FF17365D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rgb="FF0000FF"/>
      <name val="Times New Roman"/>
      <family val="1"/>
    </font>
    <font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0" fillId="0" borderId="13" xfId="0" applyBorder="1"/>
    <xf numFmtId="0" fontId="5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0" fillId="6" borderId="13" xfId="0" applyFont="1" applyFill="1" applyBorder="1" applyAlignment="1">
      <alignment horizontal="left" vertical="center" wrapText="1"/>
    </xf>
    <xf numFmtId="0" fontId="19" fillId="6" borderId="5" xfId="0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21" fillId="6" borderId="13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0" fillId="6" borderId="0" xfId="0" applyFill="1"/>
    <xf numFmtId="0" fontId="3" fillId="0" borderId="13" xfId="0" applyFont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left" vertical="center" wrapText="1"/>
    </xf>
    <xf numFmtId="0" fontId="5" fillId="6" borderId="0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18" fillId="6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0" fillId="7" borderId="0" xfId="0" applyFill="1"/>
    <xf numFmtId="0" fontId="5" fillId="0" borderId="16" xfId="0" applyFont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0" fillId="7" borderId="18" xfId="0" applyFill="1" applyBorder="1"/>
    <xf numFmtId="0" fontId="0" fillId="0" borderId="18" xfId="0" applyBorder="1"/>
    <xf numFmtId="0" fontId="0" fillId="0" borderId="19" xfId="0" applyBorder="1"/>
    <xf numFmtId="0" fontId="5" fillId="0" borderId="20" xfId="0" applyFont="1" applyBorder="1" applyAlignment="1">
      <alignment horizontal="left" vertical="center" wrapText="1"/>
    </xf>
    <xf numFmtId="0" fontId="0" fillId="7" borderId="0" xfId="0" applyFill="1" applyBorder="1"/>
    <xf numFmtId="0" fontId="0" fillId="0" borderId="0" xfId="0" applyBorder="1"/>
    <xf numFmtId="0" fontId="0" fillId="0" borderId="21" xfId="0" applyBorder="1"/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0" fillId="7" borderId="23" xfId="0" applyFill="1" applyBorder="1"/>
    <xf numFmtId="0" fontId="0" fillId="0" borderId="23" xfId="0" applyBorder="1"/>
    <xf numFmtId="0" fontId="0" fillId="0" borderId="25" xfId="0" applyBorder="1"/>
    <xf numFmtId="0" fontId="4" fillId="0" borderId="18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0" fillId="0" borderId="0" xfId="0" applyFill="1" applyBorder="1"/>
    <xf numFmtId="0" fontId="0" fillId="0" borderId="21" xfId="0" applyFill="1" applyBorder="1"/>
    <xf numFmtId="0" fontId="5" fillId="0" borderId="0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4"/>
          <c:order val="4"/>
          <c:tx>
            <c:v>1hrMean HPMC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Sheet1!$C$7:$C$10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</c:numCache>
            </c:numRef>
          </c:xVal>
          <c:yVal>
            <c:numRef>
              <c:f>Sheet1!$H$7:$H$10</c:f>
              <c:numCache>
                <c:formatCode>General</c:formatCode>
                <c:ptCount val="4"/>
                <c:pt idx="0">
                  <c:v>4.2300000000000004</c:v>
                </c:pt>
                <c:pt idx="1">
                  <c:v>14.03</c:v>
                </c:pt>
                <c:pt idx="2">
                  <c:v>2.2530000000000001</c:v>
                </c:pt>
                <c:pt idx="3">
                  <c:v>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AD-453D-9EE0-66108BC0D58B}"/>
            </c:ext>
          </c:extLst>
        </c:ser>
        <c:ser>
          <c:idx val="5"/>
          <c:order val="5"/>
          <c:tx>
            <c:v>1hr d10 HPMC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Sheet1!$C$7:$C$10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</c:numCache>
            </c:numRef>
          </c:xVal>
          <c:yVal>
            <c:numRef>
              <c:f>Sheet1!$I$7:$I$10</c:f>
              <c:numCache>
                <c:formatCode>General</c:formatCode>
                <c:ptCount val="4"/>
                <c:pt idx="0">
                  <c:v>0.39100000000000001</c:v>
                </c:pt>
                <c:pt idx="1">
                  <c:v>0.38</c:v>
                </c:pt>
                <c:pt idx="2">
                  <c:v>0.34599999999999997</c:v>
                </c:pt>
                <c:pt idx="3">
                  <c:v>1.022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AAD-453D-9EE0-66108BC0D58B}"/>
            </c:ext>
          </c:extLst>
        </c:ser>
        <c:ser>
          <c:idx val="6"/>
          <c:order val="6"/>
          <c:tx>
            <c:v>1hr d50 HPMC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Sheet1!$C$7:$C$10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</c:numCache>
            </c:numRef>
          </c:xVal>
          <c:yVal>
            <c:numRef>
              <c:f>Sheet1!$J$7:$J$10</c:f>
              <c:numCache>
                <c:formatCode>General</c:formatCode>
                <c:ptCount val="4"/>
                <c:pt idx="0">
                  <c:v>1.734</c:v>
                </c:pt>
                <c:pt idx="1">
                  <c:v>1.897</c:v>
                </c:pt>
                <c:pt idx="2">
                  <c:v>1.1060000000000001</c:v>
                </c:pt>
                <c:pt idx="3">
                  <c:v>1.9219999999999999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AAD-453D-9EE0-66108BC0D58B}"/>
            </c:ext>
          </c:extLst>
        </c:ser>
        <c:ser>
          <c:idx val="7"/>
          <c:order val="7"/>
          <c:tx>
            <c:v>1hr d90 HPMC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Sheet1!$C$7:$C$10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</c:numCache>
            </c:numRef>
          </c:xVal>
          <c:yVal>
            <c:numRef>
              <c:f>Sheet1!$K$7:$K$10</c:f>
              <c:numCache>
                <c:formatCode>General</c:formatCode>
                <c:ptCount val="4"/>
                <c:pt idx="0">
                  <c:v>10.81</c:v>
                </c:pt>
                <c:pt idx="1">
                  <c:v>29.69</c:v>
                </c:pt>
                <c:pt idx="2">
                  <c:v>6.94</c:v>
                </c:pt>
                <c:pt idx="3">
                  <c:v>5.508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AAD-453D-9EE0-66108BC0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670000"/>
        <c:axId val="3317398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mean- HPMC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Sheet1!$D$7:$D$10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3.718</c:v>
                      </c:pt>
                      <c:pt idx="1">
                        <c:v>5.7210000000000001</c:v>
                      </c:pt>
                      <c:pt idx="2">
                        <c:v>2.3079999999999998</c:v>
                      </c:pt>
                      <c:pt idx="3">
                        <c:v>1.847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AAD-453D-9EE0-66108BC0D58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d10 HPMC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Sheet1!$E$7:$E$10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0.308</c:v>
                      </c:pt>
                      <c:pt idx="1">
                        <c:v>0.32300000000000001</c:v>
                      </c:pt>
                      <c:pt idx="2">
                        <c:v>0.311</c:v>
                      </c:pt>
                      <c:pt idx="3">
                        <c:v>0.34599999999999997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AAD-453D-9EE0-66108BC0D58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d50 HPMC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Sheet1!$F$7:$F$10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1.2709999999999999</c:v>
                      </c:pt>
                      <c:pt idx="1">
                        <c:v>2.7650000000000001</c:v>
                      </c:pt>
                      <c:pt idx="2">
                        <c:v>1.2849999999999999</c:v>
                      </c:pt>
                      <c:pt idx="3">
                        <c:v>1.236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AAD-453D-9EE0-66108BC0D58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d90 HPMC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Sheet1!$G$7:$G$10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11.48</c:v>
                      </c:pt>
                      <c:pt idx="1">
                        <c:v>14.78</c:v>
                      </c:pt>
                      <c:pt idx="2">
                        <c:v>6.4630000000000001</c:v>
                      </c:pt>
                      <c:pt idx="3">
                        <c:v>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AAD-453D-9EE0-66108BC0D58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Mean HPC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Sheet1!$D$11:$D$14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1.524</c:v>
                      </c:pt>
                      <c:pt idx="1">
                        <c:v>2.62</c:v>
                      </c:pt>
                      <c:pt idx="2">
                        <c:v>2.3130000000000002</c:v>
                      </c:pt>
                      <c:pt idx="3">
                        <c:v>2.3050000000000002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AAD-453D-9EE0-66108BC0D58B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d10 HPC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Sheet1!$E$11:$E$14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0.32600000000000001</c:v>
                      </c:pt>
                      <c:pt idx="1">
                        <c:v>0.372</c:v>
                      </c:pt>
                      <c:pt idx="2">
                        <c:v>0.35799999999999998</c:v>
                      </c:pt>
                      <c:pt idx="3">
                        <c:v>0.34100000000000003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AAD-453D-9EE0-66108BC0D58B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d50 HPC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Sheet1!$F$11:$F$14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1.175</c:v>
                      </c:pt>
                      <c:pt idx="1">
                        <c:v>1.591</c:v>
                      </c:pt>
                      <c:pt idx="2">
                        <c:v>1.44</c:v>
                      </c:pt>
                      <c:pt idx="3">
                        <c:v>1.333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AAD-453D-9EE0-66108BC0D58B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d90 HPC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Sheet1!$G$11:$G$14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3.226</c:v>
                      </c:pt>
                      <c:pt idx="1">
                        <c:v>7.1630000000000003</c:v>
                      </c:pt>
                      <c:pt idx="2">
                        <c:v>6.29</c:v>
                      </c:pt>
                      <c:pt idx="3">
                        <c:v>6.4349999999999996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AAD-453D-9EE0-66108BC0D58B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1hr mean HPC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Sheet1!$H$11:$H$14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1.585</c:v>
                      </c:pt>
                      <c:pt idx="1">
                        <c:v>1.724</c:v>
                      </c:pt>
                      <c:pt idx="2">
                        <c:v>2.23</c:v>
                      </c:pt>
                      <c:pt idx="3">
                        <c:v>2.073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AAD-453D-9EE0-66108BC0D58B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1hr d10 HPC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Sheet1!$I$11:$I$14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0.28599999999999998</c:v>
                      </c:pt>
                      <c:pt idx="1">
                        <c:v>0.29399999999999998</c:v>
                      </c:pt>
                      <c:pt idx="2">
                        <c:v>0.248</c:v>
                      </c:pt>
                      <c:pt idx="3">
                        <c:v>0.23599999999999999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AAD-453D-9EE0-66108BC0D58B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1hr d50 HPC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Sheet1!$J$11:$J$14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1.3149999999999999</c:v>
                      </c:pt>
                      <c:pt idx="1">
                        <c:v>1.734</c:v>
                      </c:pt>
                      <c:pt idx="2">
                        <c:v>1.601</c:v>
                      </c:pt>
                      <c:pt idx="3">
                        <c:v>1.677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AAD-453D-9EE0-66108BC0D58B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1 hr d90 HPC</c:v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Sheet1!$K$11:$K$14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2.387</c:v>
                      </c:pt>
                      <c:pt idx="1">
                        <c:v>2.7370000000000001</c:v>
                      </c:pt>
                      <c:pt idx="2">
                        <c:v>6.28</c:v>
                      </c:pt>
                      <c:pt idx="3">
                        <c:v>3.258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AAD-453D-9EE0-66108BC0D58B}"/>
                  </c:ext>
                </c:extLst>
              </c15:ser>
            </c15:filteredScatterSeries>
          </c:ext>
        </c:extLst>
      </c:scatterChart>
      <c:valAx>
        <c:axId val="33267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39808"/>
        <c:crosses val="autoZero"/>
        <c:crossBetween val="midCat"/>
      </c:valAx>
      <c:valAx>
        <c:axId val="3317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7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457200</xdr:colOff>
      <xdr:row>3</xdr:row>
      <xdr:rowOff>119062</xdr:rowOff>
    </xdr:from>
    <xdr:to>
      <xdr:col>24</xdr:col>
      <xdr:colOff>152400</xdr:colOff>
      <xdr:row>15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EF10F2-29B4-4F17-A9E5-390394B2A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opLeftCell="A40" zoomScaleNormal="100" workbookViewId="0">
      <selection activeCell="O54" sqref="O54"/>
    </sheetView>
  </sheetViews>
  <sheetFormatPr defaultRowHeight="15" x14ac:dyDescent="0.25"/>
  <cols>
    <col min="2" max="2" width="18.140625" customWidth="1"/>
  </cols>
  <sheetData>
    <row r="1" spans="1:11" x14ac:dyDescent="0.25">
      <c r="A1" s="13" t="s">
        <v>11</v>
      </c>
    </row>
    <row r="2" spans="1:11" x14ac:dyDescent="0.25">
      <c r="A2" s="13" t="s">
        <v>12</v>
      </c>
    </row>
    <row r="3" spans="1:11" x14ac:dyDescent="0.25">
      <c r="A3" s="13" t="s">
        <v>13</v>
      </c>
    </row>
    <row r="4" spans="1:11" ht="15.75" thickBot="1" x14ac:dyDescent="0.3"/>
    <row r="5" spans="1:11" ht="16.5" thickBot="1" x14ac:dyDescent="0.3">
      <c r="A5" s="1" t="s">
        <v>0</v>
      </c>
      <c r="B5" s="2" t="s">
        <v>1</v>
      </c>
      <c r="C5" s="2" t="s">
        <v>2</v>
      </c>
      <c r="D5" s="105" t="s">
        <v>3</v>
      </c>
      <c r="E5" s="106"/>
      <c r="F5" s="106"/>
      <c r="G5" s="107"/>
      <c r="H5" s="105" t="s">
        <v>4</v>
      </c>
      <c r="I5" s="106"/>
      <c r="J5" s="106"/>
      <c r="K5" s="107"/>
    </row>
    <row r="6" spans="1:11" ht="16.5" thickBot="1" x14ac:dyDescent="0.3">
      <c r="A6" s="3"/>
      <c r="B6" s="4"/>
      <c r="C6" s="4"/>
      <c r="D6" s="5" t="s">
        <v>5</v>
      </c>
      <c r="E6" s="5" t="s">
        <v>6</v>
      </c>
      <c r="F6" s="5" t="s">
        <v>7</v>
      </c>
      <c r="G6" s="5" t="s">
        <v>8</v>
      </c>
      <c r="H6" s="5" t="s">
        <v>5</v>
      </c>
      <c r="I6" s="5" t="s">
        <v>6</v>
      </c>
      <c r="J6" s="5" t="s">
        <v>7</v>
      </c>
      <c r="K6" s="5" t="s">
        <v>8</v>
      </c>
    </row>
    <row r="7" spans="1:11" ht="32.25" thickBot="1" x14ac:dyDescent="0.3">
      <c r="A7" s="6">
        <v>14</v>
      </c>
      <c r="B7" s="4" t="s">
        <v>9</v>
      </c>
      <c r="C7" s="7">
        <v>1</v>
      </c>
      <c r="D7" s="7">
        <v>3.718</v>
      </c>
      <c r="E7" s="7">
        <v>0.308</v>
      </c>
      <c r="F7" s="7">
        <v>1.2709999999999999</v>
      </c>
      <c r="G7" s="7">
        <v>11.48</v>
      </c>
      <c r="H7" s="7">
        <v>4.2300000000000004</v>
      </c>
      <c r="I7" s="7">
        <v>0.39100000000000001</v>
      </c>
      <c r="J7" s="7">
        <v>1.734</v>
      </c>
      <c r="K7" s="7">
        <v>10.81</v>
      </c>
    </row>
    <row r="8" spans="1:11" ht="16.5" thickBot="1" x14ac:dyDescent="0.3">
      <c r="A8" s="6">
        <v>15</v>
      </c>
      <c r="B8" s="4"/>
      <c r="C8" s="7">
        <v>10</v>
      </c>
      <c r="D8" s="7">
        <v>5.7210000000000001</v>
      </c>
      <c r="E8" s="7">
        <v>0.32300000000000001</v>
      </c>
      <c r="F8" s="7">
        <v>2.7650000000000001</v>
      </c>
      <c r="G8" s="7">
        <v>14.78</v>
      </c>
      <c r="H8" s="7">
        <v>14.03</v>
      </c>
      <c r="I8" s="7">
        <v>0.38</v>
      </c>
      <c r="J8" s="7">
        <v>1.897</v>
      </c>
      <c r="K8" s="8">
        <v>29.69</v>
      </c>
    </row>
    <row r="9" spans="1:11" ht="16.5" thickBot="1" x14ac:dyDescent="0.3">
      <c r="A9" s="9">
        <v>16</v>
      </c>
      <c r="B9" s="10"/>
      <c r="C9" s="11">
        <v>25</v>
      </c>
      <c r="D9" s="11">
        <v>2.3079999999999998</v>
      </c>
      <c r="E9" s="11">
        <v>0.311</v>
      </c>
      <c r="F9" s="11">
        <v>1.2849999999999999</v>
      </c>
      <c r="G9" s="11">
        <v>6.4630000000000001</v>
      </c>
      <c r="H9" s="11">
        <v>2.2530000000000001</v>
      </c>
      <c r="I9" s="11">
        <v>0.34599999999999997</v>
      </c>
      <c r="J9" s="11">
        <v>1.1060000000000001</v>
      </c>
      <c r="K9" s="11">
        <v>6.94</v>
      </c>
    </row>
    <row r="10" spans="1:11" ht="16.5" thickBot="1" x14ac:dyDescent="0.3">
      <c r="A10" s="6">
        <v>17</v>
      </c>
      <c r="B10" s="4"/>
      <c r="C10" s="7">
        <v>50</v>
      </c>
      <c r="D10" s="7">
        <v>1.847</v>
      </c>
      <c r="E10" s="7">
        <v>0.34599999999999997</v>
      </c>
      <c r="F10" s="7">
        <v>1.236</v>
      </c>
      <c r="G10" s="7">
        <v>5</v>
      </c>
      <c r="H10" s="7">
        <v>2.56</v>
      </c>
      <c r="I10" s="8">
        <v>1.022</v>
      </c>
      <c r="J10" s="7">
        <v>1.9219999999999999</v>
      </c>
      <c r="K10" s="7">
        <v>5.508</v>
      </c>
    </row>
    <row r="11" spans="1:11" ht="16.5" thickBot="1" x14ac:dyDescent="0.3">
      <c r="A11" s="6">
        <v>18</v>
      </c>
      <c r="B11" s="4" t="s">
        <v>10</v>
      </c>
      <c r="C11" s="7">
        <v>1</v>
      </c>
      <c r="D11" s="7">
        <v>1.524</v>
      </c>
      <c r="E11" s="7">
        <v>0.32600000000000001</v>
      </c>
      <c r="F11" s="7">
        <v>1.175</v>
      </c>
      <c r="G11" s="7">
        <v>3.226</v>
      </c>
      <c r="H11" s="7">
        <v>1.585</v>
      </c>
      <c r="I11" s="7">
        <v>0.28599999999999998</v>
      </c>
      <c r="J11" s="7">
        <v>1.3149999999999999</v>
      </c>
      <c r="K11" s="7">
        <v>2.387</v>
      </c>
    </row>
    <row r="12" spans="1:11" ht="16.5" thickBot="1" x14ac:dyDescent="0.3">
      <c r="A12" s="6">
        <v>19</v>
      </c>
      <c r="B12" s="4"/>
      <c r="C12" s="7">
        <v>10</v>
      </c>
      <c r="D12" s="7">
        <v>2.62</v>
      </c>
      <c r="E12" s="7">
        <v>0.372</v>
      </c>
      <c r="F12" s="7">
        <v>1.591</v>
      </c>
      <c r="G12" s="7">
        <v>7.1630000000000003</v>
      </c>
      <c r="H12" s="7">
        <v>1.724</v>
      </c>
      <c r="I12" s="7">
        <v>0.29399999999999998</v>
      </c>
      <c r="J12" s="7">
        <v>1.734</v>
      </c>
      <c r="K12" s="8">
        <v>2.7370000000000001</v>
      </c>
    </row>
    <row r="13" spans="1:11" ht="16.5" thickBot="1" x14ac:dyDescent="0.3">
      <c r="A13" s="6">
        <v>20</v>
      </c>
      <c r="B13" s="4"/>
      <c r="C13" s="11">
        <v>25</v>
      </c>
      <c r="D13" s="11">
        <v>2.3130000000000002</v>
      </c>
      <c r="E13" s="11">
        <v>0.35799999999999998</v>
      </c>
      <c r="F13" s="8">
        <v>1.44</v>
      </c>
      <c r="G13" s="11">
        <v>6.29</v>
      </c>
      <c r="H13" s="11">
        <v>2.23</v>
      </c>
      <c r="I13" s="11">
        <v>0.248</v>
      </c>
      <c r="J13" s="8">
        <v>1.601</v>
      </c>
      <c r="K13" s="11">
        <v>6.28</v>
      </c>
    </row>
    <row r="14" spans="1:11" ht="16.5" thickBot="1" x14ac:dyDescent="0.3">
      <c r="A14" s="6">
        <v>21</v>
      </c>
      <c r="B14" s="4"/>
      <c r="C14" s="7">
        <v>50</v>
      </c>
      <c r="D14" s="7">
        <v>2.3050000000000002</v>
      </c>
      <c r="E14" s="7">
        <v>0.34100000000000003</v>
      </c>
      <c r="F14" s="7">
        <v>1.333</v>
      </c>
      <c r="G14" s="7">
        <v>6.4349999999999996</v>
      </c>
      <c r="H14" s="7">
        <v>2.073</v>
      </c>
      <c r="I14" s="7">
        <v>0.23599999999999999</v>
      </c>
      <c r="J14" s="7">
        <v>1.677</v>
      </c>
      <c r="K14" s="8">
        <v>3.258</v>
      </c>
    </row>
    <row r="16" spans="1:11" x14ac:dyDescent="0.25">
      <c r="A16" s="13" t="s">
        <v>14</v>
      </c>
    </row>
    <row r="17" spans="1:7" x14ac:dyDescent="0.25">
      <c r="A17" s="13" t="s">
        <v>15</v>
      </c>
    </row>
    <row r="18" spans="1:7" ht="15.75" thickBot="1" x14ac:dyDescent="0.3"/>
    <row r="19" spans="1:7" x14ac:dyDescent="0.25">
      <c r="A19" s="108" t="s">
        <v>0</v>
      </c>
      <c r="B19" s="108" t="s">
        <v>16</v>
      </c>
      <c r="C19" s="108" t="s">
        <v>2</v>
      </c>
      <c r="D19" s="110" t="s">
        <v>17</v>
      </c>
      <c r="E19" s="111"/>
      <c r="F19" s="111"/>
      <c r="G19" s="112"/>
    </row>
    <row r="20" spans="1:7" ht="15.75" thickBot="1" x14ac:dyDescent="0.3">
      <c r="A20" s="109"/>
      <c r="B20" s="109"/>
      <c r="C20" s="109"/>
      <c r="D20" s="113"/>
      <c r="E20" s="114"/>
      <c r="F20" s="114"/>
      <c r="G20" s="115"/>
    </row>
    <row r="21" spans="1:7" ht="15.75" thickBot="1" x14ac:dyDescent="0.3">
      <c r="A21" s="14"/>
      <c r="B21" s="15"/>
      <c r="C21" s="15"/>
      <c r="D21" s="15" t="s">
        <v>5</v>
      </c>
      <c r="E21" s="15" t="s">
        <v>18</v>
      </c>
      <c r="F21" s="15" t="s">
        <v>19</v>
      </c>
      <c r="G21" s="15" t="s">
        <v>20</v>
      </c>
    </row>
    <row r="22" spans="1:7" ht="15.75" thickBot="1" x14ac:dyDescent="0.3">
      <c r="A22" s="14">
        <v>22</v>
      </c>
      <c r="B22" s="15" t="s">
        <v>21</v>
      </c>
      <c r="C22" s="15">
        <v>10</v>
      </c>
      <c r="D22" s="15">
        <v>1.7050000000000001</v>
      </c>
      <c r="E22" s="15">
        <v>0.37</v>
      </c>
      <c r="F22" s="15">
        <v>1.3169999999999999</v>
      </c>
      <c r="G22" s="15">
        <v>3.8359999999999999</v>
      </c>
    </row>
    <row r="23" spans="1:7" ht="15.75" thickBot="1" x14ac:dyDescent="0.3">
      <c r="A23" s="14">
        <v>23</v>
      </c>
      <c r="B23" s="15"/>
      <c r="C23" s="16">
        <v>25</v>
      </c>
      <c r="D23" s="16">
        <v>1.474</v>
      </c>
      <c r="E23" s="16">
        <v>0.34300000000000003</v>
      </c>
      <c r="F23" s="16">
        <v>1.8180000000000001</v>
      </c>
      <c r="G23" s="16">
        <v>2.8039999999999998</v>
      </c>
    </row>
    <row r="24" spans="1:7" ht="15.75" thickBot="1" x14ac:dyDescent="0.3">
      <c r="A24" s="14">
        <v>24</v>
      </c>
      <c r="B24" s="15"/>
      <c r="C24" s="15">
        <v>50</v>
      </c>
      <c r="D24" s="15">
        <v>1.552</v>
      </c>
      <c r="E24" s="15">
        <v>0.33600000000000002</v>
      </c>
      <c r="F24" s="15">
        <v>1.141</v>
      </c>
      <c r="G24" s="15">
        <v>3.6629999999999998</v>
      </c>
    </row>
    <row r="25" spans="1:7" ht="15.75" thickBot="1" x14ac:dyDescent="0.3">
      <c r="A25" s="14">
        <v>25</v>
      </c>
      <c r="B25" s="17" t="s">
        <v>22</v>
      </c>
      <c r="C25" s="15">
        <v>10</v>
      </c>
      <c r="D25" s="17"/>
      <c r="E25" s="17"/>
      <c r="F25" s="17"/>
      <c r="G25" s="17"/>
    </row>
    <row r="26" spans="1:7" ht="15.75" thickBot="1" x14ac:dyDescent="0.3">
      <c r="A26" s="14">
        <v>26</v>
      </c>
      <c r="B26" s="15"/>
      <c r="C26" s="15">
        <v>25</v>
      </c>
      <c r="D26" s="17"/>
      <c r="E26" s="17"/>
      <c r="F26" s="17"/>
      <c r="G26" s="17"/>
    </row>
    <row r="27" spans="1:7" ht="15.75" thickBot="1" x14ac:dyDescent="0.3">
      <c r="A27" s="14">
        <v>27</v>
      </c>
      <c r="B27" s="15"/>
      <c r="C27" s="15">
        <v>50</v>
      </c>
      <c r="D27" s="17"/>
      <c r="E27" s="17"/>
      <c r="F27" s="17"/>
      <c r="G27" s="17"/>
    </row>
    <row r="28" spans="1:7" ht="15.75" thickBot="1" x14ac:dyDescent="0.3">
      <c r="A28" s="14">
        <v>28</v>
      </c>
      <c r="B28" s="15" t="s">
        <v>23</v>
      </c>
      <c r="C28" s="15">
        <v>10</v>
      </c>
      <c r="D28" s="15">
        <v>1.6990000000000001</v>
      </c>
      <c r="E28" s="15">
        <v>0.33400000000000002</v>
      </c>
      <c r="F28" s="15">
        <v>1.448</v>
      </c>
      <c r="G28" s="15">
        <v>3.2090000000000001</v>
      </c>
    </row>
    <row r="29" spans="1:7" ht="15.75" thickBot="1" x14ac:dyDescent="0.3">
      <c r="A29" s="14">
        <v>29</v>
      </c>
      <c r="B29" s="15"/>
      <c r="C29" s="18">
        <v>25</v>
      </c>
      <c r="D29" s="18">
        <v>1.377</v>
      </c>
      <c r="E29" s="18">
        <v>0.33100000000000002</v>
      </c>
      <c r="F29" s="18">
        <v>1.1259999999999999</v>
      </c>
      <c r="G29" s="18">
        <v>2.4860000000000002</v>
      </c>
    </row>
    <row r="30" spans="1:7" ht="15.75" thickBot="1" x14ac:dyDescent="0.3">
      <c r="A30" s="14">
        <v>30</v>
      </c>
      <c r="B30" s="15"/>
      <c r="C30" s="15">
        <v>50</v>
      </c>
      <c r="D30" s="15">
        <v>1.99</v>
      </c>
      <c r="E30" s="15">
        <v>0.28499999999999998</v>
      </c>
      <c r="F30" s="15">
        <v>1.696</v>
      </c>
      <c r="G30" s="15">
        <v>3.871</v>
      </c>
    </row>
    <row r="31" spans="1:7" ht="15.75" thickBot="1" x14ac:dyDescent="0.3">
      <c r="A31" s="14">
        <v>31</v>
      </c>
      <c r="B31" s="15" t="s">
        <v>24</v>
      </c>
      <c r="C31" s="15">
        <v>10</v>
      </c>
      <c r="D31" s="15">
        <v>1.9770000000000001</v>
      </c>
      <c r="E31" s="15">
        <v>0.28699999999999998</v>
      </c>
      <c r="F31" s="15">
        <v>1.6819999999999999</v>
      </c>
      <c r="G31" s="15">
        <v>3.8530000000000002</v>
      </c>
    </row>
    <row r="32" spans="1:7" ht="15.75" thickBot="1" x14ac:dyDescent="0.3">
      <c r="A32" s="14">
        <v>32</v>
      </c>
      <c r="B32" s="15"/>
      <c r="C32" s="15">
        <v>25</v>
      </c>
      <c r="D32" s="15">
        <v>2.0619999999999998</v>
      </c>
      <c r="E32" s="15">
        <v>0.85799999999999998</v>
      </c>
      <c r="F32" s="15">
        <v>1.778</v>
      </c>
      <c r="G32" s="15">
        <v>3.38</v>
      </c>
    </row>
    <row r="33" spans="1:7" ht="15.75" thickBot="1" x14ac:dyDescent="0.3">
      <c r="A33" s="14">
        <v>33</v>
      </c>
      <c r="B33" s="15"/>
      <c r="C33" s="15">
        <v>50</v>
      </c>
      <c r="D33" s="15">
        <v>1.347</v>
      </c>
      <c r="E33" s="15">
        <v>0.377</v>
      </c>
      <c r="F33" s="15">
        <v>1.179</v>
      </c>
      <c r="G33" s="15">
        <v>2.2029999999999998</v>
      </c>
    </row>
    <row r="34" spans="1:7" ht="15.75" thickBot="1" x14ac:dyDescent="0.3">
      <c r="A34" s="14">
        <v>34</v>
      </c>
      <c r="B34" s="17" t="s">
        <v>25</v>
      </c>
      <c r="C34" s="15">
        <v>10</v>
      </c>
      <c r="D34" s="17"/>
      <c r="E34" s="17"/>
      <c r="F34" s="17"/>
      <c r="G34" s="17"/>
    </row>
    <row r="35" spans="1:7" ht="15.75" thickBot="1" x14ac:dyDescent="0.3">
      <c r="A35" s="14">
        <v>35</v>
      </c>
      <c r="B35" s="15"/>
      <c r="C35" s="15">
        <v>25</v>
      </c>
      <c r="D35" s="17"/>
      <c r="E35" s="17"/>
      <c r="F35" s="17"/>
      <c r="G35" s="17"/>
    </row>
    <row r="36" spans="1:7" ht="15.75" thickBot="1" x14ac:dyDescent="0.3">
      <c r="A36" s="14">
        <v>36</v>
      </c>
      <c r="B36" s="15"/>
      <c r="C36" s="15">
        <v>50</v>
      </c>
      <c r="D36" s="17"/>
      <c r="E36" s="17"/>
      <c r="F36" s="17"/>
      <c r="G36" s="17"/>
    </row>
    <row r="37" spans="1:7" ht="16.5" thickBot="1" x14ac:dyDescent="0.3">
      <c r="A37" s="14">
        <v>37</v>
      </c>
      <c r="B37" s="19" t="s">
        <v>26</v>
      </c>
      <c r="C37" s="15">
        <v>10</v>
      </c>
      <c r="D37" s="15">
        <v>2.4580000000000002</v>
      </c>
      <c r="E37" s="15">
        <v>1.2889999999999999</v>
      </c>
      <c r="F37" s="15">
        <v>2.1389999999999998</v>
      </c>
      <c r="G37" s="15">
        <v>3.8</v>
      </c>
    </row>
    <row r="38" spans="1:7" ht="15.75" thickBot="1" x14ac:dyDescent="0.3">
      <c r="A38" s="14">
        <v>38</v>
      </c>
      <c r="B38" s="15"/>
      <c r="C38" s="15">
        <v>25</v>
      </c>
      <c r="D38" s="15">
        <v>1.417</v>
      </c>
      <c r="E38" s="15">
        <v>0.375</v>
      </c>
      <c r="F38" s="15">
        <v>1.1910000000000001</v>
      </c>
      <c r="G38" s="15">
        <v>2.3540000000000001</v>
      </c>
    </row>
    <row r="39" spans="1:7" ht="15.75" thickBot="1" x14ac:dyDescent="0.3">
      <c r="A39" s="14">
        <v>39</v>
      </c>
      <c r="B39" s="15"/>
      <c r="C39" s="15">
        <v>50</v>
      </c>
      <c r="D39" s="17"/>
      <c r="E39" s="17"/>
      <c r="F39" s="17"/>
      <c r="G39" s="17"/>
    </row>
    <row r="40" spans="1:7" ht="16.5" thickBot="1" x14ac:dyDescent="0.3">
      <c r="A40" s="14">
        <v>40</v>
      </c>
      <c r="B40" s="4" t="s">
        <v>27</v>
      </c>
      <c r="C40" s="15">
        <v>10</v>
      </c>
      <c r="D40" s="15">
        <v>3.61</v>
      </c>
      <c r="E40" s="15">
        <v>1</v>
      </c>
      <c r="F40" s="15">
        <v>2.3879999999999999</v>
      </c>
      <c r="G40" s="15">
        <v>8.391</v>
      </c>
    </row>
    <row r="41" spans="1:7" ht="15.75" thickBot="1" x14ac:dyDescent="0.3">
      <c r="A41" s="14">
        <v>41</v>
      </c>
      <c r="B41" s="15"/>
      <c r="C41" s="15">
        <v>25</v>
      </c>
      <c r="D41" s="15">
        <v>3.5649999999999999</v>
      </c>
      <c r="E41" s="15">
        <v>1.47</v>
      </c>
      <c r="F41" s="15">
        <v>2.69</v>
      </c>
      <c r="G41" s="15">
        <v>7.62</v>
      </c>
    </row>
    <row r="42" spans="1:7" ht="15.75" thickBot="1" x14ac:dyDescent="0.3">
      <c r="A42" s="14">
        <v>42</v>
      </c>
      <c r="B42" s="15"/>
      <c r="C42" s="15">
        <v>50</v>
      </c>
      <c r="D42" s="15">
        <v>2.331</v>
      </c>
      <c r="E42" s="15">
        <v>0.91600000000000004</v>
      </c>
      <c r="F42" s="15">
        <v>1.7829999999999999</v>
      </c>
      <c r="G42" s="15">
        <v>4.9669999999999996</v>
      </c>
    </row>
    <row r="44" spans="1:7" x14ac:dyDescent="0.25">
      <c r="A44" s="13" t="s">
        <v>28</v>
      </c>
    </row>
    <row r="45" spans="1:7" x14ac:dyDescent="0.25">
      <c r="A45" s="12" t="s">
        <v>29</v>
      </c>
    </row>
    <row r="46" spans="1:7" x14ac:dyDescent="0.25">
      <c r="A46" s="12" t="s">
        <v>30</v>
      </c>
    </row>
    <row r="48" spans="1:7" x14ac:dyDescent="0.25">
      <c r="A48" s="13" t="s">
        <v>31</v>
      </c>
    </row>
    <row r="49" spans="1:11" x14ac:dyDescent="0.25">
      <c r="A49" s="13" t="s">
        <v>32</v>
      </c>
    </row>
    <row r="50" spans="1:11" ht="15.75" thickBot="1" x14ac:dyDescent="0.3"/>
    <row r="51" spans="1:11" x14ac:dyDescent="0.25">
      <c r="A51" s="132" t="s">
        <v>0</v>
      </c>
      <c r="B51" s="132" t="s">
        <v>1</v>
      </c>
      <c r="C51" s="20" t="s">
        <v>2</v>
      </c>
      <c r="D51" s="116" t="s">
        <v>3</v>
      </c>
      <c r="E51" s="117"/>
      <c r="F51" s="117"/>
      <c r="G51" s="118"/>
      <c r="H51" s="116" t="s">
        <v>4</v>
      </c>
      <c r="I51" s="117"/>
      <c r="J51" s="117"/>
      <c r="K51" s="118"/>
    </row>
    <row r="52" spans="1:11" ht="29.25" thickBot="1" x14ac:dyDescent="0.3">
      <c r="A52" s="133"/>
      <c r="B52" s="133"/>
      <c r="C52" s="21" t="s">
        <v>33</v>
      </c>
      <c r="D52" s="119"/>
      <c r="E52" s="120"/>
      <c r="F52" s="120"/>
      <c r="G52" s="121"/>
      <c r="H52" s="119"/>
      <c r="I52" s="120"/>
      <c r="J52" s="120"/>
      <c r="K52" s="121"/>
    </row>
    <row r="53" spans="1:11" ht="15.75" thickBot="1" x14ac:dyDescent="0.3">
      <c r="A53" s="22"/>
      <c r="B53" s="23"/>
      <c r="C53" s="23"/>
      <c r="D53" s="24" t="s">
        <v>5</v>
      </c>
      <c r="E53" s="24" t="s">
        <v>6</v>
      </c>
      <c r="F53" s="24" t="s">
        <v>7</v>
      </c>
      <c r="G53" s="24" t="s">
        <v>8</v>
      </c>
      <c r="H53" s="24" t="s">
        <v>5</v>
      </c>
      <c r="I53" s="24" t="s">
        <v>6</v>
      </c>
      <c r="J53" s="24" t="s">
        <v>7</v>
      </c>
      <c r="K53" s="24" t="s">
        <v>8</v>
      </c>
    </row>
    <row r="54" spans="1:11" ht="15.75" thickBot="1" x14ac:dyDescent="0.3">
      <c r="A54" s="25">
        <v>43</v>
      </c>
      <c r="B54" s="23" t="s">
        <v>9</v>
      </c>
      <c r="C54" s="26">
        <v>25</v>
      </c>
      <c r="D54" s="26">
        <v>0.41</v>
      </c>
      <c r="E54" s="26">
        <v>0.25800000000000001</v>
      </c>
      <c r="F54" s="26">
        <v>0.38300000000000001</v>
      </c>
      <c r="G54" s="26">
        <v>0.60899999999999999</v>
      </c>
      <c r="H54" s="26">
        <v>9.5380000000000003</v>
      </c>
      <c r="I54" s="26">
        <v>3.3959999999999999</v>
      </c>
      <c r="J54" s="26">
        <v>7.8630000000000004</v>
      </c>
      <c r="K54" s="27">
        <v>18.28</v>
      </c>
    </row>
    <row r="55" spans="1:11" ht="15.75" thickBot="1" x14ac:dyDescent="0.3">
      <c r="A55" s="25">
        <v>44</v>
      </c>
      <c r="B55" s="23"/>
      <c r="C55" s="26">
        <v>10</v>
      </c>
      <c r="D55" s="26">
        <v>0.626</v>
      </c>
      <c r="E55" s="26">
        <v>0.27200000000000002</v>
      </c>
      <c r="F55" s="26">
        <v>0.48399999999999999</v>
      </c>
      <c r="G55" s="26">
        <v>1.1850000000000001</v>
      </c>
      <c r="H55" s="27">
        <v>1.796</v>
      </c>
      <c r="I55" s="26">
        <v>0.46600000000000003</v>
      </c>
      <c r="J55" s="26">
        <v>1.2450000000000001</v>
      </c>
      <c r="K55" s="27">
        <v>3.7389999999999999</v>
      </c>
    </row>
    <row r="56" spans="1:11" ht="15.75" thickBot="1" x14ac:dyDescent="0.3">
      <c r="A56" s="28">
        <v>45</v>
      </c>
      <c r="B56" s="23"/>
      <c r="C56" s="26">
        <v>1</v>
      </c>
      <c r="D56" s="26">
        <v>0.88</v>
      </c>
      <c r="E56" s="26">
        <v>0.35</v>
      </c>
      <c r="F56" s="26">
        <v>0.69499999999999995</v>
      </c>
      <c r="G56" s="26">
        <v>1.9179999999999999</v>
      </c>
      <c r="H56" s="27">
        <v>1.129</v>
      </c>
      <c r="I56" s="26">
        <v>0.55900000000000005</v>
      </c>
      <c r="J56" s="26">
        <v>0.92600000000000005</v>
      </c>
      <c r="K56" s="27">
        <v>2.0270000000000001</v>
      </c>
    </row>
    <row r="57" spans="1:11" ht="15.75" thickBot="1" x14ac:dyDescent="0.3">
      <c r="A57" s="28">
        <v>46</v>
      </c>
      <c r="B57" s="23" t="s">
        <v>10</v>
      </c>
      <c r="C57" s="26">
        <v>25</v>
      </c>
      <c r="D57" s="29">
        <v>0.38</v>
      </c>
      <c r="E57" s="29">
        <v>0.215</v>
      </c>
      <c r="F57" s="29">
        <v>0.32800000000000001</v>
      </c>
      <c r="G57" s="29">
        <v>0.58099999999999996</v>
      </c>
      <c r="H57" s="29">
        <v>0.66800000000000004</v>
      </c>
      <c r="I57" s="29">
        <v>0.35399999999999998</v>
      </c>
      <c r="J57" s="29">
        <v>0.53500000000000003</v>
      </c>
      <c r="K57" s="29">
        <v>1.06</v>
      </c>
    </row>
    <row r="58" spans="1:11" ht="15.75" thickBot="1" x14ac:dyDescent="0.3">
      <c r="A58" s="28">
        <v>47</v>
      </c>
      <c r="B58" s="23"/>
      <c r="C58" s="26">
        <v>10</v>
      </c>
      <c r="D58" s="26">
        <v>0.68200000000000005</v>
      </c>
      <c r="E58" s="26">
        <v>0.254</v>
      </c>
      <c r="F58" s="26">
        <v>0.437</v>
      </c>
      <c r="G58" s="26">
        <v>1.7490000000000001</v>
      </c>
      <c r="H58" s="26">
        <v>0.70599999999999996</v>
      </c>
      <c r="I58" s="26">
        <v>0.378</v>
      </c>
      <c r="J58" s="26">
        <v>0.58899999999999997</v>
      </c>
      <c r="K58" s="27">
        <v>1.081</v>
      </c>
    </row>
    <row r="59" spans="1:11" ht="15.75" thickBot="1" x14ac:dyDescent="0.3">
      <c r="A59" s="28">
        <v>48</v>
      </c>
      <c r="B59" s="23"/>
      <c r="C59" s="26">
        <v>1</v>
      </c>
      <c r="D59" s="26">
        <v>0.58399999999999996</v>
      </c>
      <c r="E59" s="26">
        <v>0.26700000000000002</v>
      </c>
      <c r="F59" s="26">
        <v>0.44</v>
      </c>
      <c r="G59" s="26">
        <v>1.079</v>
      </c>
      <c r="H59" s="26">
        <v>1.0209999999999999</v>
      </c>
      <c r="I59" s="26">
        <v>0.44600000000000001</v>
      </c>
      <c r="J59" s="26">
        <v>0.79300000000000004</v>
      </c>
      <c r="K59" s="27">
        <v>2.0209999999999999</v>
      </c>
    </row>
    <row r="61" spans="1:11" x14ac:dyDescent="0.25">
      <c r="A61" s="30" t="s">
        <v>34</v>
      </c>
    </row>
    <row r="63" spans="1:11" x14ac:dyDescent="0.25">
      <c r="A63" s="13" t="s">
        <v>35</v>
      </c>
    </row>
    <row r="64" spans="1:11" x14ac:dyDescent="0.25">
      <c r="A64" s="13" t="s">
        <v>36</v>
      </c>
    </row>
    <row r="65" spans="1:7" ht="15.75" thickBot="1" x14ac:dyDescent="0.3"/>
    <row r="66" spans="1:7" x14ac:dyDescent="0.25">
      <c r="A66" s="122" t="s">
        <v>0</v>
      </c>
      <c r="B66" s="122" t="s">
        <v>16</v>
      </c>
      <c r="C66" s="122" t="s">
        <v>2</v>
      </c>
      <c r="D66" s="124" t="s">
        <v>17</v>
      </c>
      <c r="E66" s="125"/>
      <c r="F66" s="125"/>
      <c r="G66" s="126"/>
    </row>
    <row r="67" spans="1:7" ht="15.75" thickBot="1" x14ac:dyDescent="0.3">
      <c r="A67" s="123"/>
      <c r="B67" s="123"/>
      <c r="C67" s="123"/>
      <c r="D67" s="127"/>
      <c r="E67" s="128"/>
      <c r="F67" s="128"/>
      <c r="G67" s="129"/>
    </row>
    <row r="68" spans="1:7" ht="16.5" thickBot="1" x14ac:dyDescent="0.3">
      <c r="A68" s="3"/>
      <c r="B68" s="4"/>
      <c r="C68" s="4"/>
      <c r="D68" s="4" t="s">
        <v>5</v>
      </c>
      <c r="E68" s="4" t="s">
        <v>18</v>
      </c>
      <c r="F68" s="4" t="s">
        <v>19</v>
      </c>
      <c r="G68" s="4" t="s">
        <v>20</v>
      </c>
    </row>
    <row r="69" spans="1:7" ht="16.5" thickBot="1" x14ac:dyDescent="0.3">
      <c r="A69" s="3">
        <v>49</v>
      </c>
      <c r="B69" s="4" t="s">
        <v>21</v>
      </c>
      <c r="C69" s="4">
        <v>1</v>
      </c>
      <c r="D69" s="4">
        <v>32.68</v>
      </c>
      <c r="E69" s="4">
        <v>9.41</v>
      </c>
      <c r="F69" s="4">
        <v>26.48</v>
      </c>
      <c r="G69" s="4">
        <v>65.06</v>
      </c>
    </row>
    <row r="70" spans="1:7" ht="16.5" thickBot="1" x14ac:dyDescent="0.3">
      <c r="A70" s="31">
        <v>50</v>
      </c>
      <c r="B70" s="4"/>
      <c r="C70" s="32">
        <v>10</v>
      </c>
      <c r="D70" s="33"/>
      <c r="E70" s="33"/>
      <c r="F70" s="33"/>
      <c r="G70" s="33"/>
    </row>
    <row r="71" spans="1:7" ht="16.5" thickBot="1" x14ac:dyDescent="0.3">
      <c r="A71" s="3">
        <v>51</v>
      </c>
      <c r="B71" s="4"/>
      <c r="C71" s="4">
        <v>50</v>
      </c>
      <c r="D71" s="4">
        <v>4.53</v>
      </c>
      <c r="E71" s="4">
        <v>1.1499999999999999</v>
      </c>
      <c r="F71" s="4">
        <v>3.54</v>
      </c>
      <c r="G71" s="4">
        <v>9.06</v>
      </c>
    </row>
    <row r="72" spans="1:7" ht="16.5" thickBot="1" x14ac:dyDescent="0.3">
      <c r="A72" s="31">
        <v>52</v>
      </c>
      <c r="B72" s="4" t="s">
        <v>22</v>
      </c>
      <c r="C72" s="32">
        <v>10</v>
      </c>
      <c r="D72" s="33"/>
      <c r="E72" s="33"/>
      <c r="F72" s="33"/>
      <c r="G72" s="33"/>
    </row>
    <row r="73" spans="1:7" ht="16.5" thickBot="1" x14ac:dyDescent="0.3">
      <c r="A73" s="31">
        <v>53</v>
      </c>
      <c r="B73" s="4"/>
      <c r="C73" s="32">
        <v>25</v>
      </c>
      <c r="D73" s="33"/>
      <c r="E73" s="33"/>
      <c r="F73" s="33"/>
      <c r="G73" s="33"/>
    </row>
    <row r="74" spans="1:7" ht="16.5" thickBot="1" x14ac:dyDescent="0.3">
      <c r="A74" s="31">
        <v>54</v>
      </c>
      <c r="B74" s="4"/>
      <c r="C74" s="32">
        <v>50</v>
      </c>
      <c r="D74" s="33"/>
      <c r="E74" s="33"/>
      <c r="F74" s="33"/>
      <c r="G74" s="33"/>
    </row>
    <row r="75" spans="1:7" ht="16.5" thickBot="1" x14ac:dyDescent="0.3">
      <c r="A75" s="31">
        <v>55</v>
      </c>
      <c r="B75" s="4" t="s">
        <v>23</v>
      </c>
      <c r="C75" s="32">
        <v>10</v>
      </c>
      <c r="D75" s="33"/>
      <c r="E75" s="33"/>
      <c r="F75" s="33"/>
      <c r="G75" s="33"/>
    </row>
    <row r="76" spans="1:7" ht="16.5" thickBot="1" x14ac:dyDescent="0.3">
      <c r="A76" s="31">
        <v>56</v>
      </c>
      <c r="B76" s="4"/>
      <c r="C76" s="32">
        <v>25</v>
      </c>
      <c r="D76" s="33"/>
      <c r="E76" s="33"/>
      <c r="F76" s="33"/>
      <c r="G76" s="33"/>
    </row>
    <row r="77" spans="1:7" ht="16.5" thickBot="1" x14ac:dyDescent="0.3">
      <c r="A77" s="31">
        <v>57</v>
      </c>
      <c r="B77" s="4"/>
      <c r="C77" s="32">
        <v>50</v>
      </c>
      <c r="D77" s="33"/>
      <c r="E77" s="33"/>
      <c r="F77" s="33"/>
      <c r="G77" s="33"/>
    </row>
    <row r="78" spans="1:7" ht="16.5" thickBot="1" x14ac:dyDescent="0.3">
      <c r="A78" s="31">
        <v>58</v>
      </c>
      <c r="B78" s="4" t="s">
        <v>24</v>
      </c>
      <c r="C78" s="32">
        <v>1</v>
      </c>
      <c r="D78" s="33"/>
      <c r="E78" s="33"/>
      <c r="F78" s="33"/>
      <c r="G78" s="33"/>
    </row>
    <row r="79" spans="1:7" ht="16.5" thickBot="1" x14ac:dyDescent="0.3">
      <c r="A79" s="3">
        <v>59</v>
      </c>
      <c r="B79" s="4"/>
      <c r="C79" s="4">
        <v>10</v>
      </c>
      <c r="D79" s="4">
        <v>2.0950000000000002</v>
      </c>
      <c r="E79" s="4">
        <v>1.1000000000000001</v>
      </c>
      <c r="F79" s="4">
        <v>1.53</v>
      </c>
      <c r="G79" s="4">
        <v>4.59</v>
      </c>
    </row>
    <row r="80" spans="1:7" ht="16.5" thickBot="1" x14ac:dyDescent="0.3">
      <c r="A80" s="3">
        <v>60</v>
      </c>
      <c r="B80" s="4"/>
      <c r="C80" s="4">
        <v>50</v>
      </c>
      <c r="D80" s="4">
        <v>3.3010000000000002</v>
      </c>
      <c r="E80" s="4">
        <v>1.1499999999999999</v>
      </c>
      <c r="F80" s="4">
        <v>1.81</v>
      </c>
      <c r="G80" s="4">
        <v>7.51</v>
      </c>
    </row>
    <row r="81" spans="1:7" ht="16.5" thickBot="1" x14ac:dyDescent="0.3">
      <c r="A81" s="31">
        <v>61</v>
      </c>
      <c r="B81" s="4" t="s">
        <v>25</v>
      </c>
      <c r="C81" s="32">
        <v>10</v>
      </c>
      <c r="D81" s="33"/>
      <c r="E81" s="33"/>
      <c r="F81" s="33"/>
      <c r="G81" s="33"/>
    </row>
    <row r="82" spans="1:7" ht="16.5" thickBot="1" x14ac:dyDescent="0.3">
      <c r="A82" s="31">
        <v>62</v>
      </c>
      <c r="B82" s="4"/>
      <c r="C82" s="32">
        <v>25</v>
      </c>
      <c r="D82" s="33"/>
      <c r="E82" s="33"/>
      <c r="F82" s="33"/>
      <c r="G82" s="33"/>
    </row>
    <row r="83" spans="1:7" ht="16.5" thickBot="1" x14ac:dyDescent="0.3">
      <c r="A83" s="31">
        <v>63</v>
      </c>
      <c r="B83" s="4"/>
      <c r="C83" s="32">
        <v>50</v>
      </c>
      <c r="D83" s="33"/>
      <c r="E83" s="33"/>
      <c r="F83" s="33"/>
      <c r="G83" s="33"/>
    </row>
    <row r="84" spans="1:7" ht="16.5" thickBot="1" x14ac:dyDescent="0.3">
      <c r="A84" s="3">
        <v>64</v>
      </c>
      <c r="B84" s="4" t="s">
        <v>26</v>
      </c>
      <c r="C84" s="4">
        <v>10</v>
      </c>
      <c r="D84" s="4">
        <v>10.49</v>
      </c>
      <c r="E84" s="4">
        <v>0.77400000000000002</v>
      </c>
      <c r="F84" s="4">
        <v>10.65</v>
      </c>
      <c r="G84" s="4">
        <v>19.98</v>
      </c>
    </row>
    <row r="85" spans="1:7" ht="16.5" thickBot="1" x14ac:dyDescent="0.3">
      <c r="A85" s="31">
        <v>65</v>
      </c>
      <c r="B85" s="4"/>
      <c r="C85" s="32">
        <v>25</v>
      </c>
      <c r="D85" s="33"/>
      <c r="E85" s="33"/>
      <c r="F85" s="33"/>
      <c r="G85" s="33"/>
    </row>
    <row r="86" spans="1:7" ht="16.5" thickBot="1" x14ac:dyDescent="0.3">
      <c r="A86" s="3">
        <v>66</v>
      </c>
      <c r="B86" s="4"/>
      <c r="C86" s="4">
        <v>50</v>
      </c>
      <c r="D86" s="4">
        <v>11.2</v>
      </c>
      <c r="E86" s="4">
        <v>0.69499999999999995</v>
      </c>
      <c r="F86" s="4">
        <v>11.24</v>
      </c>
      <c r="G86" s="4">
        <v>22.04</v>
      </c>
    </row>
    <row r="87" spans="1:7" ht="16.5" thickBot="1" x14ac:dyDescent="0.3">
      <c r="A87" s="3">
        <v>67</v>
      </c>
      <c r="B87" s="4" t="s">
        <v>27</v>
      </c>
      <c r="C87" s="4">
        <v>10</v>
      </c>
      <c r="D87" s="4">
        <v>16.45</v>
      </c>
      <c r="E87" s="4">
        <v>4.99</v>
      </c>
      <c r="F87" s="4">
        <v>16.27</v>
      </c>
      <c r="G87" s="4">
        <v>27.77</v>
      </c>
    </row>
    <row r="88" spans="1:7" ht="16.5" thickBot="1" x14ac:dyDescent="0.3">
      <c r="A88" s="3">
        <v>68</v>
      </c>
      <c r="B88" s="4"/>
      <c r="C88" s="4">
        <v>25</v>
      </c>
      <c r="D88" s="4">
        <v>2.0089999999999999</v>
      </c>
      <c r="E88" s="4">
        <v>1.0980000000000001</v>
      </c>
      <c r="F88" s="4">
        <v>1.6</v>
      </c>
      <c r="G88" s="4">
        <v>4.3739999999999997</v>
      </c>
    </row>
    <row r="89" spans="1:7" ht="16.5" thickBot="1" x14ac:dyDescent="0.3">
      <c r="A89" s="3">
        <v>69</v>
      </c>
      <c r="B89" s="4"/>
      <c r="C89" s="4">
        <v>50</v>
      </c>
      <c r="D89" s="4">
        <v>1.52</v>
      </c>
      <c r="E89" s="4">
        <v>1.147</v>
      </c>
      <c r="F89" s="4">
        <v>1.51</v>
      </c>
      <c r="G89" s="4">
        <v>1.927</v>
      </c>
    </row>
    <row r="91" spans="1:7" x14ac:dyDescent="0.25">
      <c r="A91" s="13" t="s">
        <v>28</v>
      </c>
    </row>
    <row r="92" spans="1:7" x14ac:dyDescent="0.25">
      <c r="A92" s="12" t="s">
        <v>37</v>
      </c>
    </row>
    <row r="93" spans="1:7" x14ac:dyDescent="0.25">
      <c r="A93" s="12" t="s">
        <v>38</v>
      </c>
    </row>
    <row r="95" spans="1:7" x14ac:dyDescent="0.25">
      <c r="A95" s="13" t="s">
        <v>39</v>
      </c>
    </row>
    <row r="96" spans="1:7" x14ac:dyDescent="0.25">
      <c r="A96" s="12" t="s">
        <v>40</v>
      </c>
    </row>
    <row r="97" spans="1:5" x14ac:dyDescent="0.25">
      <c r="A97" s="12" t="s">
        <v>41</v>
      </c>
    </row>
    <row r="98" spans="1:5" ht="15.75" thickBot="1" x14ac:dyDescent="0.3"/>
    <row r="99" spans="1:5" x14ac:dyDescent="0.25">
      <c r="A99" s="122" t="s">
        <v>0</v>
      </c>
      <c r="B99" s="124" t="s">
        <v>17</v>
      </c>
      <c r="C99" s="125"/>
      <c r="D99" s="125"/>
      <c r="E99" s="126"/>
    </row>
    <row r="100" spans="1:5" ht="15.75" thickBot="1" x14ac:dyDescent="0.3">
      <c r="A100" s="123"/>
      <c r="B100" s="127"/>
      <c r="C100" s="128"/>
      <c r="D100" s="128"/>
      <c r="E100" s="129"/>
    </row>
    <row r="101" spans="1:5" ht="16.5" thickBot="1" x14ac:dyDescent="0.3">
      <c r="A101" s="3"/>
      <c r="B101" s="34" t="s">
        <v>5</v>
      </c>
      <c r="C101" s="34" t="s">
        <v>18</v>
      </c>
      <c r="D101" s="34" t="s">
        <v>19</v>
      </c>
      <c r="E101" s="34" t="s">
        <v>20</v>
      </c>
    </row>
    <row r="102" spans="1:5" ht="16.5" thickBot="1" x14ac:dyDescent="0.3">
      <c r="A102" s="3">
        <v>23</v>
      </c>
      <c r="B102" s="34">
        <v>1.474</v>
      </c>
      <c r="C102" s="34">
        <v>0.34300000000000003</v>
      </c>
      <c r="D102" s="34">
        <v>1.8180000000000001</v>
      </c>
      <c r="E102" s="34">
        <v>2.8039999999999998</v>
      </c>
    </row>
    <row r="103" spans="1:5" ht="16.5" thickBot="1" x14ac:dyDescent="0.3">
      <c r="A103" s="3" t="s">
        <v>42</v>
      </c>
      <c r="B103" s="34"/>
      <c r="C103" s="34">
        <v>0.34200000000000003</v>
      </c>
      <c r="D103" s="34">
        <v>0.97799999999999998</v>
      </c>
      <c r="E103" s="34">
        <v>2.5209999999999999</v>
      </c>
    </row>
    <row r="104" spans="1:5" ht="16.5" thickBot="1" x14ac:dyDescent="0.3">
      <c r="A104" s="3">
        <v>69</v>
      </c>
      <c r="B104" s="34">
        <v>1.52</v>
      </c>
      <c r="C104" s="34">
        <v>1.147</v>
      </c>
      <c r="D104" s="34">
        <v>1.51</v>
      </c>
      <c r="E104" s="34">
        <v>1.927</v>
      </c>
    </row>
    <row r="105" spans="1:5" ht="16.5" thickBot="1" x14ac:dyDescent="0.3">
      <c r="A105" s="3" t="s">
        <v>43</v>
      </c>
      <c r="B105" s="34"/>
      <c r="C105" s="34">
        <v>1.179</v>
      </c>
      <c r="D105" s="34">
        <v>1.679</v>
      </c>
      <c r="E105" s="34">
        <v>6.6820000000000004</v>
      </c>
    </row>
    <row r="107" spans="1:5" x14ac:dyDescent="0.25">
      <c r="A107" s="13" t="s">
        <v>44</v>
      </c>
    </row>
    <row r="108" spans="1:5" x14ac:dyDescent="0.25">
      <c r="A108" s="13" t="s">
        <v>45</v>
      </c>
    </row>
    <row r="109" spans="1:5" x14ac:dyDescent="0.25">
      <c r="A109" s="12" t="s">
        <v>46</v>
      </c>
    </row>
    <row r="110" spans="1:5" x14ac:dyDescent="0.25">
      <c r="A110" s="35" t="s">
        <v>47</v>
      </c>
    </row>
    <row r="111" spans="1:5" x14ac:dyDescent="0.25">
      <c r="A111" s="12" t="s">
        <v>48</v>
      </c>
    </row>
    <row r="112" spans="1:5" x14ac:dyDescent="0.25">
      <c r="A112" s="12" t="s">
        <v>49</v>
      </c>
    </row>
    <row r="113" spans="1:2" x14ac:dyDescent="0.25">
      <c r="A113" s="12" t="s">
        <v>50</v>
      </c>
    </row>
    <row r="114" spans="1:2" x14ac:dyDescent="0.25">
      <c r="A114" s="12" t="s">
        <v>51</v>
      </c>
    </row>
    <row r="115" spans="1:2" x14ac:dyDescent="0.25">
      <c r="A115" s="12" t="s">
        <v>52</v>
      </c>
    </row>
    <row r="116" spans="1:2" x14ac:dyDescent="0.25">
      <c r="A116" s="12" t="s">
        <v>53</v>
      </c>
    </row>
    <row r="117" spans="1:2" ht="15.75" thickBot="1" x14ac:dyDescent="0.3"/>
    <row r="118" spans="1:2" x14ac:dyDescent="0.25">
      <c r="A118" s="130" t="s">
        <v>0</v>
      </c>
      <c r="B118" s="36" t="s">
        <v>17</v>
      </c>
    </row>
    <row r="119" spans="1:2" ht="15.75" thickBot="1" x14ac:dyDescent="0.3">
      <c r="A119" s="131"/>
      <c r="B119" s="15" t="s">
        <v>54</v>
      </c>
    </row>
    <row r="120" spans="1:2" ht="15.75" thickBot="1" x14ac:dyDescent="0.3">
      <c r="A120" s="14">
        <v>74</v>
      </c>
      <c r="B120" s="15" t="s">
        <v>55</v>
      </c>
    </row>
    <row r="121" spans="1:2" ht="15.75" thickBot="1" x14ac:dyDescent="0.3">
      <c r="A121" s="14">
        <v>75</v>
      </c>
      <c r="B121" s="15" t="s">
        <v>56</v>
      </c>
    </row>
    <row r="122" spans="1:2" ht="15.75" thickBot="1" x14ac:dyDescent="0.3">
      <c r="A122" s="14">
        <v>76</v>
      </c>
      <c r="B122" s="37"/>
    </row>
    <row r="123" spans="1:2" ht="15.75" thickBot="1" x14ac:dyDescent="0.3">
      <c r="A123" s="38">
        <v>77</v>
      </c>
      <c r="B123" s="39" t="s">
        <v>57</v>
      </c>
    </row>
    <row r="124" spans="1:2" ht="15.75" thickBot="1" x14ac:dyDescent="0.3">
      <c r="A124" s="14">
        <v>78</v>
      </c>
      <c r="B124" s="15" t="s">
        <v>58</v>
      </c>
    </row>
    <row r="126" spans="1:2" x14ac:dyDescent="0.25">
      <c r="A126" s="13" t="s">
        <v>59</v>
      </c>
    </row>
    <row r="127" spans="1:2" x14ac:dyDescent="0.25">
      <c r="A127" s="13" t="s">
        <v>45</v>
      </c>
    </row>
    <row r="128" spans="1:2" x14ac:dyDescent="0.25">
      <c r="A128" s="12" t="s">
        <v>60</v>
      </c>
    </row>
    <row r="129" spans="1:2" x14ac:dyDescent="0.25">
      <c r="A129" s="35" t="s">
        <v>47</v>
      </c>
    </row>
    <row r="130" spans="1:2" x14ac:dyDescent="0.25">
      <c r="A130" s="12" t="s">
        <v>61</v>
      </c>
    </row>
    <row r="131" spans="1:2" x14ac:dyDescent="0.25">
      <c r="A131" s="12" t="s">
        <v>62</v>
      </c>
    </row>
    <row r="132" spans="1:2" x14ac:dyDescent="0.25">
      <c r="A132" s="12" t="s">
        <v>63</v>
      </c>
    </row>
    <row r="133" spans="1:2" x14ac:dyDescent="0.25">
      <c r="A133" s="12" t="s">
        <v>64</v>
      </c>
    </row>
    <row r="134" spans="1:2" x14ac:dyDescent="0.25">
      <c r="A134" s="12" t="s">
        <v>65</v>
      </c>
    </row>
    <row r="135" spans="1:2" ht="15.75" thickBot="1" x14ac:dyDescent="0.3"/>
    <row r="136" spans="1:2" x14ac:dyDescent="0.25">
      <c r="A136" s="130" t="s">
        <v>0</v>
      </c>
      <c r="B136" s="36" t="s">
        <v>17</v>
      </c>
    </row>
    <row r="137" spans="1:2" ht="15.75" thickBot="1" x14ac:dyDescent="0.3">
      <c r="A137" s="131"/>
      <c r="B137" s="15" t="s">
        <v>54</v>
      </c>
    </row>
    <row r="138" spans="1:2" ht="15.75" thickBot="1" x14ac:dyDescent="0.3">
      <c r="A138" s="14">
        <v>79</v>
      </c>
      <c r="B138" s="15" t="s">
        <v>66</v>
      </c>
    </row>
    <row r="139" spans="1:2" ht="15.75" thickBot="1" x14ac:dyDescent="0.3">
      <c r="A139" s="14">
        <v>80</v>
      </c>
      <c r="B139" s="37"/>
    </row>
    <row r="140" spans="1:2" ht="15.75" thickBot="1" x14ac:dyDescent="0.3">
      <c r="A140" s="38">
        <v>81</v>
      </c>
      <c r="B140" s="39" t="s">
        <v>67</v>
      </c>
    </row>
    <row r="141" spans="1:2" ht="15.75" thickBot="1" x14ac:dyDescent="0.3">
      <c r="A141" s="14">
        <v>82</v>
      </c>
      <c r="B141" s="37"/>
    </row>
  </sheetData>
  <mergeCells count="18">
    <mergeCell ref="A99:A100"/>
    <mergeCell ref="B99:E100"/>
    <mergeCell ref="A118:A119"/>
    <mergeCell ref="A136:A137"/>
    <mergeCell ref="A51:A52"/>
    <mergeCell ref="B51:B52"/>
    <mergeCell ref="D51:G52"/>
    <mergeCell ref="H51:K52"/>
    <mergeCell ref="A66:A67"/>
    <mergeCell ref="B66:B67"/>
    <mergeCell ref="C66:C67"/>
    <mergeCell ref="D66:G67"/>
    <mergeCell ref="D5:G5"/>
    <mergeCell ref="H5:K5"/>
    <mergeCell ref="A19:A20"/>
    <mergeCell ref="B19:B20"/>
    <mergeCell ref="C19:C20"/>
    <mergeCell ref="D19:G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032A-22A8-4843-92DD-E53FC3E62F27}">
  <dimension ref="A1:Y37"/>
  <sheetViews>
    <sheetView tabSelected="1" workbookViewId="0">
      <selection activeCell="Q19" sqref="Q19"/>
    </sheetView>
  </sheetViews>
  <sheetFormatPr defaultRowHeight="15" x14ac:dyDescent="0.25"/>
  <cols>
    <col min="1" max="1" width="7.85546875" customWidth="1"/>
    <col min="2" max="2" width="10.85546875" customWidth="1"/>
    <col min="3" max="3" width="11.42578125" customWidth="1"/>
    <col min="4" max="4" width="8" customWidth="1"/>
    <col min="5" max="5" width="6.7109375" customWidth="1"/>
    <col min="6" max="6" width="8.42578125" customWidth="1"/>
    <col min="7" max="7" width="9.7109375" customWidth="1"/>
    <col min="8" max="8" width="7.28515625" customWidth="1"/>
    <col min="12" max="12" width="13.140625" bestFit="1" customWidth="1"/>
    <col min="14" max="14" width="13.140625" bestFit="1" customWidth="1"/>
    <col min="18" max="18" width="2.28515625" customWidth="1"/>
    <col min="22" max="22" width="1.5703125" customWidth="1"/>
  </cols>
  <sheetData>
    <row r="1" spans="1:25" x14ac:dyDescent="0.25">
      <c r="S1" t="s">
        <v>72</v>
      </c>
    </row>
    <row r="2" spans="1:25" ht="47.25" x14ac:dyDescent="0.25">
      <c r="A2" s="64" t="s">
        <v>73</v>
      </c>
      <c r="B2" s="64" t="s">
        <v>74</v>
      </c>
      <c r="C2" s="64" t="s">
        <v>75</v>
      </c>
      <c r="D2" s="64" t="s">
        <v>76</v>
      </c>
      <c r="E2" s="64" t="s">
        <v>21</v>
      </c>
      <c r="F2" s="64" t="s">
        <v>70</v>
      </c>
      <c r="G2" s="41" t="s">
        <v>24</v>
      </c>
      <c r="H2" s="46" t="s">
        <v>27</v>
      </c>
      <c r="I2" s="134" t="s">
        <v>3</v>
      </c>
      <c r="J2" s="134"/>
      <c r="K2" s="134"/>
      <c r="L2" s="134" t="s">
        <v>68</v>
      </c>
      <c r="M2" s="134"/>
      <c r="N2" s="134"/>
      <c r="O2" s="134" t="s">
        <v>69</v>
      </c>
      <c r="P2" s="134"/>
      <c r="Q2" s="134"/>
      <c r="S2" t="s">
        <v>68</v>
      </c>
      <c r="W2" t="s">
        <v>69</v>
      </c>
    </row>
    <row r="3" spans="1:25" ht="15.75" x14ac:dyDescent="0.25">
      <c r="A3" s="42"/>
      <c r="B3" s="42"/>
      <c r="C3" s="42"/>
      <c r="D3" s="42"/>
      <c r="E3" s="42"/>
      <c r="F3" s="42"/>
      <c r="G3" s="42"/>
      <c r="H3" s="40"/>
      <c r="I3" s="48" t="s">
        <v>6</v>
      </c>
      <c r="J3" s="48" t="s">
        <v>7</v>
      </c>
      <c r="K3" s="48" t="s">
        <v>8</v>
      </c>
      <c r="L3" s="48" t="s">
        <v>6</v>
      </c>
      <c r="M3" s="48" t="s">
        <v>7</v>
      </c>
      <c r="N3" s="48" t="s">
        <v>8</v>
      </c>
      <c r="O3" s="48" t="s">
        <v>6</v>
      </c>
      <c r="P3" s="48" t="s">
        <v>7</v>
      </c>
      <c r="Q3" s="48" t="s">
        <v>8</v>
      </c>
    </row>
    <row r="4" spans="1:25" ht="16.5" thickBot="1" x14ac:dyDescent="0.3">
      <c r="A4" s="50">
        <v>1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1">
        <v>0</v>
      </c>
      <c r="I4" s="50">
        <v>0.308</v>
      </c>
      <c r="J4" s="50">
        <v>1.2709999999999999</v>
      </c>
      <c r="K4" s="50">
        <v>11.48</v>
      </c>
      <c r="L4" s="52">
        <v>0.39100000000000001</v>
      </c>
      <c r="M4" s="52">
        <v>1.734</v>
      </c>
      <c r="N4" s="52">
        <v>10.81</v>
      </c>
      <c r="O4" s="53">
        <v>0.878</v>
      </c>
      <c r="P4" s="53">
        <v>1.69</v>
      </c>
      <c r="Q4" s="53">
        <v>25.79</v>
      </c>
      <c r="S4">
        <f>L4/I4</f>
        <v>1.2694805194805197</v>
      </c>
      <c r="T4">
        <f>M4/J4</f>
        <v>1.3642800944138473</v>
      </c>
      <c r="U4">
        <f>N4/K4</f>
        <v>0.94163763066202089</v>
      </c>
      <c r="W4">
        <f>O4/I4</f>
        <v>2.8506493506493507</v>
      </c>
      <c r="X4">
        <f>P4/J4</f>
        <v>1.3296616837136115</v>
      </c>
      <c r="Y4">
        <f>Q4/K4</f>
        <v>2.2465156794425085</v>
      </c>
    </row>
    <row r="5" spans="1:25" ht="16.5" thickBot="1" x14ac:dyDescent="0.3">
      <c r="A5" s="50">
        <v>10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1">
        <v>0</v>
      </c>
      <c r="I5" s="50">
        <v>0.32300000000000001</v>
      </c>
      <c r="J5" s="50">
        <v>2.7650000000000001</v>
      </c>
      <c r="K5" s="50">
        <v>14.78</v>
      </c>
      <c r="L5" s="52">
        <v>0.38</v>
      </c>
      <c r="M5" s="52">
        <v>1.897</v>
      </c>
      <c r="N5" s="54">
        <v>15.88</v>
      </c>
      <c r="O5" s="55">
        <v>1</v>
      </c>
      <c r="P5" s="55">
        <v>2.08</v>
      </c>
      <c r="Q5" s="55">
        <v>17.93</v>
      </c>
      <c r="S5">
        <f t="shared" ref="S5:U17" si="0">L5/I5</f>
        <v>1.1764705882352942</v>
      </c>
      <c r="T5">
        <f t="shared" si="0"/>
        <v>0.6860759493670886</v>
      </c>
      <c r="U5">
        <f t="shared" si="0"/>
        <v>1.0744248985115021</v>
      </c>
      <c r="W5">
        <f t="shared" ref="W5:Y13" si="1">O5/I5</f>
        <v>3.0959752321981422</v>
      </c>
      <c r="X5">
        <f t="shared" si="1"/>
        <v>0.75226039783001808</v>
      </c>
      <c r="Y5">
        <f t="shared" si="1"/>
        <v>1.2131258457374832</v>
      </c>
    </row>
    <row r="6" spans="1:25" ht="16.5" thickBot="1" x14ac:dyDescent="0.3">
      <c r="A6" s="56">
        <v>25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1">
        <v>0</v>
      </c>
      <c r="I6" s="56">
        <v>0.311</v>
      </c>
      <c r="J6" s="56">
        <v>1.2849999999999999</v>
      </c>
      <c r="K6" s="56">
        <v>6.4630000000000001</v>
      </c>
      <c r="L6" s="57">
        <v>0.34599999999999997</v>
      </c>
      <c r="M6" s="57">
        <v>1.1060000000000001</v>
      </c>
      <c r="N6" s="57">
        <v>6.94</v>
      </c>
      <c r="O6" s="57">
        <v>0.47</v>
      </c>
      <c r="P6" s="57">
        <v>1.56</v>
      </c>
      <c r="Q6" s="57">
        <v>15.81</v>
      </c>
      <c r="S6">
        <f t="shared" si="0"/>
        <v>1.112540192926045</v>
      </c>
      <c r="T6">
        <f t="shared" si="0"/>
        <v>0.86070038910505853</v>
      </c>
      <c r="U6">
        <f t="shared" si="0"/>
        <v>1.0738047346433546</v>
      </c>
      <c r="W6">
        <f t="shared" si="1"/>
        <v>1.5112540192926045</v>
      </c>
      <c r="X6">
        <f t="shared" si="1"/>
        <v>1.2140077821011674</v>
      </c>
      <c r="Y6">
        <f t="shared" si="1"/>
        <v>2.4462323998143276</v>
      </c>
    </row>
    <row r="7" spans="1:25" ht="16.5" thickBot="1" x14ac:dyDescent="0.3">
      <c r="A7" s="50">
        <v>50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1">
        <v>0</v>
      </c>
      <c r="I7" s="50">
        <v>0.34599999999999997</v>
      </c>
      <c r="J7" s="50">
        <v>1.236</v>
      </c>
      <c r="K7" s="50">
        <v>5</v>
      </c>
      <c r="L7" s="58">
        <v>1.022</v>
      </c>
      <c r="M7" s="52">
        <v>1.9219999999999999</v>
      </c>
      <c r="N7" s="52">
        <v>5.508</v>
      </c>
      <c r="O7" s="55">
        <v>1.37</v>
      </c>
      <c r="P7" s="55">
        <v>2.5</v>
      </c>
      <c r="Q7" s="55">
        <v>18.37</v>
      </c>
      <c r="S7">
        <f t="shared" si="0"/>
        <v>2.9537572254335265</v>
      </c>
      <c r="T7">
        <f t="shared" si="0"/>
        <v>1.5550161812297734</v>
      </c>
      <c r="U7">
        <f t="shared" si="0"/>
        <v>1.1015999999999999</v>
      </c>
      <c r="W7">
        <f t="shared" si="1"/>
        <v>3.959537572254336</v>
      </c>
      <c r="X7">
        <f t="shared" si="1"/>
        <v>2.0226537216828477</v>
      </c>
      <c r="Y7">
        <f t="shared" si="1"/>
        <v>3.6740000000000004</v>
      </c>
    </row>
    <row r="8" spans="1:25" ht="16.5" thickBot="1" x14ac:dyDescent="0.3">
      <c r="A8" s="50">
        <v>0</v>
      </c>
      <c r="B8" s="52">
        <v>1</v>
      </c>
      <c r="C8" s="51">
        <v>0</v>
      </c>
      <c r="D8" s="51">
        <v>0</v>
      </c>
      <c r="E8" s="50">
        <v>0</v>
      </c>
      <c r="F8" s="50">
        <v>0</v>
      </c>
      <c r="G8" s="50">
        <v>0</v>
      </c>
      <c r="H8" s="50">
        <v>0</v>
      </c>
      <c r="I8" s="52">
        <v>0.32600000000000001</v>
      </c>
      <c r="J8" s="52">
        <v>1.175</v>
      </c>
      <c r="K8" s="52">
        <v>3.226</v>
      </c>
      <c r="L8" s="52">
        <v>0.28599999999999998</v>
      </c>
      <c r="M8" s="52">
        <v>1.3149999999999999</v>
      </c>
      <c r="N8" s="52">
        <v>2.387</v>
      </c>
      <c r="O8" s="59">
        <v>1.32</v>
      </c>
      <c r="P8" s="59">
        <v>1.89</v>
      </c>
      <c r="Q8" s="59">
        <v>6.25</v>
      </c>
      <c r="S8">
        <f t="shared" si="0"/>
        <v>0.87730061349693245</v>
      </c>
      <c r="T8">
        <f t="shared" si="0"/>
        <v>1.1191489361702127</v>
      </c>
      <c r="U8">
        <f t="shared" si="0"/>
        <v>0.73992560446373223</v>
      </c>
      <c r="W8">
        <f t="shared" si="1"/>
        <v>4.0490797546012267</v>
      </c>
      <c r="X8">
        <f t="shared" si="1"/>
        <v>1.6085106382978722</v>
      </c>
      <c r="Y8">
        <f t="shared" si="1"/>
        <v>1.9373837569745815</v>
      </c>
    </row>
    <row r="9" spans="1:25" ht="16.5" thickBot="1" x14ac:dyDescent="0.3">
      <c r="A9" s="50">
        <v>0</v>
      </c>
      <c r="B9" s="52">
        <v>10</v>
      </c>
      <c r="C9" s="51">
        <v>0</v>
      </c>
      <c r="D9" s="51">
        <v>0</v>
      </c>
      <c r="E9" s="50">
        <v>0</v>
      </c>
      <c r="F9" s="50">
        <v>0</v>
      </c>
      <c r="G9" s="50">
        <v>0</v>
      </c>
      <c r="H9" s="50">
        <v>0</v>
      </c>
      <c r="I9" s="52">
        <v>0.372</v>
      </c>
      <c r="J9" s="52">
        <v>1.591</v>
      </c>
      <c r="K9" s="52">
        <v>7.1630000000000003</v>
      </c>
      <c r="L9" s="52">
        <v>0.29399999999999998</v>
      </c>
      <c r="M9" s="52">
        <v>1.734</v>
      </c>
      <c r="N9" s="58">
        <v>2.7370000000000001</v>
      </c>
      <c r="O9" s="55">
        <v>1.47</v>
      </c>
      <c r="P9" s="55">
        <v>2.33</v>
      </c>
      <c r="Q9" s="55">
        <v>3.9</v>
      </c>
      <c r="S9">
        <f t="shared" si="0"/>
        <v>0.79032258064516125</v>
      </c>
      <c r="T9">
        <f t="shared" si="0"/>
        <v>1.0898805782526713</v>
      </c>
      <c r="U9">
        <f t="shared" si="0"/>
        <v>0.38210247103169065</v>
      </c>
      <c r="W9">
        <f t="shared" si="1"/>
        <v>3.9516129032258065</v>
      </c>
      <c r="X9">
        <f t="shared" si="1"/>
        <v>1.464487743557511</v>
      </c>
      <c r="Y9">
        <f t="shared" si="1"/>
        <v>0.54446460980036293</v>
      </c>
    </row>
    <row r="10" spans="1:25" ht="16.5" thickBot="1" x14ac:dyDescent="0.3">
      <c r="A10" s="50">
        <v>0</v>
      </c>
      <c r="B10" s="57">
        <v>25</v>
      </c>
      <c r="C10" s="51">
        <v>0</v>
      </c>
      <c r="D10" s="51">
        <v>0</v>
      </c>
      <c r="E10" s="50">
        <v>0</v>
      </c>
      <c r="F10" s="50">
        <v>0</v>
      </c>
      <c r="G10" s="50">
        <v>0</v>
      </c>
      <c r="H10" s="50">
        <v>0</v>
      </c>
      <c r="I10" s="57">
        <v>0.35799999999999998</v>
      </c>
      <c r="J10" s="58">
        <v>1.44</v>
      </c>
      <c r="K10" s="57">
        <v>6.29</v>
      </c>
      <c r="L10" s="57">
        <v>0.248</v>
      </c>
      <c r="M10" s="58">
        <v>1.601</v>
      </c>
      <c r="N10" s="57">
        <v>6.28</v>
      </c>
      <c r="O10" s="55">
        <v>1.27</v>
      </c>
      <c r="P10" s="55">
        <v>2.0499999999999998</v>
      </c>
      <c r="Q10" s="55">
        <v>7.81</v>
      </c>
      <c r="S10">
        <f t="shared" si="0"/>
        <v>0.69273743016759781</v>
      </c>
      <c r="T10">
        <f t="shared" si="0"/>
        <v>1.1118055555555555</v>
      </c>
      <c r="U10">
        <f t="shared" si="0"/>
        <v>0.99841017488076311</v>
      </c>
      <c r="W10">
        <f t="shared" si="1"/>
        <v>3.5474860335195531</v>
      </c>
      <c r="X10">
        <f t="shared" si="1"/>
        <v>1.4236111111111109</v>
      </c>
      <c r="Y10">
        <f t="shared" si="1"/>
        <v>1.2416534181240062</v>
      </c>
    </row>
    <row r="11" spans="1:25" ht="16.5" thickBot="1" x14ac:dyDescent="0.3">
      <c r="A11" s="50">
        <v>0</v>
      </c>
      <c r="B11" s="52">
        <v>50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1">
        <v>0</v>
      </c>
      <c r="I11" s="52">
        <v>0.34100000000000003</v>
      </c>
      <c r="J11" s="52">
        <v>1.333</v>
      </c>
      <c r="K11" s="52">
        <v>6.4349999999999996</v>
      </c>
      <c r="L11" s="52">
        <v>0.23599999999999999</v>
      </c>
      <c r="M11" s="52">
        <v>1.677</v>
      </c>
      <c r="N11" s="58">
        <v>3.258</v>
      </c>
      <c r="O11" s="55">
        <v>1.64</v>
      </c>
      <c r="P11" s="55">
        <v>2.61</v>
      </c>
      <c r="Q11" s="55">
        <v>10.32</v>
      </c>
      <c r="S11">
        <f t="shared" si="0"/>
        <v>0.69208211143695009</v>
      </c>
      <c r="T11">
        <f t="shared" si="0"/>
        <v>1.2580645161290323</v>
      </c>
      <c r="U11">
        <f t="shared" si="0"/>
        <v>0.50629370629370629</v>
      </c>
      <c r="W11">
        <f t="shared" si="1"/>
        <v>4.8093841642228732</v>
      </c>
      <c r="X11">
        <f t="shared" si="1"/>
        <v>1.9579894973743435</v>
      </c>
      <c r="Y11">
        <f t="shared" si="1"/>
        <v>1.6037296037296038</v>
      </c>
    </row>
    <row r="12" spans="1:25" ht="16.5" thickBot="1" x14ac:dyDescent="0.3">
      <c r="A12" s="50">
        <v>0</v>
      </c>
      <c r="B12" s="50">
        <v>0</v>
      </c>
      <c r="C12" s="73">
        <v>1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26">
        <v>0.35</v>
      </c>
      <c r="J12" s="26">
        <v>0.69499999999999995</v>
      </c>
      <c r="K12" s="26">
        <v>1.9179999999999999</v>
      </c>
      <c r="L12" s="26">
        <v>0.55900000000000005</v>
      </c>
      <c r="M12" s="26">
        <v>0.92600000000000005</v>
      </c>
      <c r="N12" s="27">
        <v>2.0270000000000001</v>
      </c>
      <c r="O12" s="26">
        <v>0.997</v>
      </c>
      <c r="P12" s="27">
        <v>1.5289999999999999</v>
      </c>
      <c r="Q12" s="62">
        <v>4.29</v>
      </c>
      <c r="S12">
        <f t="shared" si="0"/>
        <v>1.5971428571428574</v>
      </c>
      <c r="T12">
        <f t="shared" si="0"/>
        <v>1.3323741007194245</v>
      </c>
      <c r="U12">
        <f t="shared" si="0"/>
        <v>1.0568300312825862</v>
      </c>
      <c r="W12">
        <f t="shared" si="1"/>
        <v>2.8485714285714288</v>
      </c>
      <c r="X12" s="63">
        <f t="shared" si="1"/>
        <v>2.2000000000000002</v>
      </c>
      <c r="Y12">
        <f t="shared" si="1"/>
        <v>2.2367049009384776</v>
      </c>
    </row>
    <row r="13" spans="1:25" ht="16.5" thickBot="1" x14ac:dyDescent="0.3">
      <c r="A13" s="50">
        <v>0</v>
      </c>
      <c r="B13" s="50">
        <v>0</v>
      </c>
      <c r="C13" s="60">
        <v>10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26">
        <v>0.27200000000000002</v>
      </c>
      <c r="J13" s="26">
        <v>0.48399999999999999</v>
      </c>
      <c r="K13" s="26">
        <v>1.1850000000000001</v>
      </c>
      <c r="L13" s="26">
        <v>0.46600000000000003</v>
      </c>
      <c r="M13" s="26">
        <v>1.2450000000000001</v>
      </c>
      <c r="N13" s="27">
        <v>3.7389999999999999</v>
      </c>
      <c r="O13" s="62">
        <v>0.84</v>
      </c>
      <c r="P13" s="62">
        <v>0.36299999999999999</v>
      </c>
      <c r="Q13" s="62">
        <v>1.43</v>
      </c>
      <c r="S13">
        <f t="shared" si="0"/>
        <v>1.713235294117647</v>
      </c>
      <c r="T13">
        <f t="shared" si="0"/>
        <v>2.5723140495867773</v>
      </c>
      <c r="U13">
        <f t="shared" si="0"/>
        <v>3.1552742616033753</v>
      </c>
      <c r="W13">
        <f t="shared" si="1"/>
        <v>3.0882352941176467</v>
      </c>
      <c r="X13">
        <f t="shared" si="1"/>
        <v>0.75</v>
      </c>
      <c r="Y13">
        <f t="shared" si="1"/>
        <v>1.2067510548523206</v>
      </c>
    </row>
    <row r="14" spans="1:25" ht="16.5" thickBot="1" x14ac:dyDescent="0.3">
      <c r="A14" s="50">
        <v>0</v>
      </c>
      <c r="B14" s="50">
        <v>0</v>
      </c>
      <c r="C14" s="60">
        <v>25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26">
        <v>0.25800000000000001</v>
      </c>
      <c r="J14" s="26">
        <v>0.38300000000000001</v>
      </c>
      <c r="K14" s="26">
        <v>0.60899999999999999</v>
      </c>
      <c r="L14" s="26">
        <v>3.3959999999999999</v>
      </c>
      <c r="M14" s="26">
        <v>7.8630000000000004</v>
      </c>
      <c r="N14" s="27">
        <v>18.28</v>
      </c>
      <c r="O14" s="74">
        <v>3.4830000000000001</v>
      </c>
      <c r="P14" s="74">
        <v>8.0429999999999993</v>
      </c>
      <c r="Q14" s="69">
        <v>20</v>
      </c>
      <c r="S14">
        <f t="shared" si="0"/>
        <v>13.162790697674417</v>
      </c>
      <c r="T14">
        <f t="shared" si="0"/>
        <v>20.530026109660575</v>
      </c>
      <c r="U14">
        <f t="shared" si="0"/>
        <v>30.016420361247949</v>
      </c>
    </row>
    <row r="15" spans="1:25" ht="16.5" thickBot="1" x14ac:dyDescent="0.3">
      <c r="A15" s="50">
        <v>0</v>
      </c>
      <c r="B15" s="50">
        <v>0</v>
      </c>
      <c r="C15" s="50">
        <v>0</v>
      </c>
      <c r="D15" s="61">
        <v>1</v>
      </c>
      <c r="E15" s="51">
        <v>0</v>
      </c>
      <c r="F15" s="51">
        <v>0</v>
      </c>
      <c r="G15" s="51">
        <v>0</v>
      </c>
      <c r="H15" s="51">
        <v>0</v>
      </c>
      <c r="I15" s="26">
        <v>0.26700000000000002</v>
      </c>
      <c r="J15" s="26">
        <v>0.44</v>
      </c>
      <c r="K15" s="26">
        <v>1.079</v>
      </c>
      <c r="L15" s="26">
        <v>0.44600000000000001</v>
      </c>
      <c r="M15" s="26">
        <v>0.79300000000000004</v>
      </c>
      <c r="N15" s="27">
        <v>2.0209999999999999</v>
      </c>
      <c r="S15">
        <f t="shared" si="0"/>
        <v>1.6704119850187265</v>
      </c>
      <c r="T15">
        <f t="shared" si="0"/>
        <v>1.8022727272727272</v>
      </c>
      <c r="U15">
        <f t="shared" si="0"/>
        <v>1.8730305838739574</v>
      </c>
    </row>
    <row r="16" spans="1:25" ht="16.5" thickBot="1" x14ac:dyDescent="0.3">
      <c r="A16" s="50">
        <v>0</v>
      </c>
      <c r="B16" s="50">
        <v>0</v>
      </c>
      <c r="C16" s="50">
        <v>0</v>
      </c>
      <c r="D16" s="61">
        <v>10</v>
      </c>
      <c r="E16" s="51">
        <v>0</v>
      </c>
      <c r="F16" s="51">
        <v>0</v>
      </c>
      <c r="G16" s="51">
        <v>0</v>
      </c>
      <c r="H16" s="51">
        <v>0</v>
      </c>
      <c r="I16" s="26">
        <v>0.254</v>
      </c>
      <c r="J16" s="26">
        <v>0.437</v>
      </c>
      <c r="K16" s="26">
        <v>1.7490000000000001</v>
      </c>
      <c r="L16" s="26">
        <v>0.378</v>
      </c>
      <c r="M16" s="26">
        <v>0.58899999999999997</v>
      </c>
      <c r="N16" s="27">
        <v>1.081</v>
      </c>
      <c r="S16">
        <f t="shared" si="0"/>
        <v>1.4881889763779528</v>
      </c>
      <c r="T16">
        <f t="shared" si="0"/>
        <v>1.3478260869565217</v>
      </c>
      <c r="U16">
        <f t="shared" si="0"/>
        <v>0.61806746712407079</v>
      </c>
    </row>
    <row r="17" spans="1:21" ht="15.75" x14ac:dyDescent="0.25">
      <c r="A17" s="79">
        <v>0</v>
      </c>
      <c r="B17" s="79">
        <v>0</v>
      </c>
      <c r="C17" s="79">
        <v>0</v>
      </c>
      <c r="D17" s="80">
        <v>25</v>
      </c>
      <c r="E17" s="81">
        <v>0</v>
      </c>
      <c r="F17" s="81">
        <v>0</v>
      </c>
      <c r="G17" s="81">
        <v>0</v>
      </c>
      <c r="H17" s="81">
        <v>0</v>
      </c>
      <c r="I17" s="82">
        <v>0.215</v>
      </c>
      <c r="J17" s="82">
        <v>0.32800000000000001</v>
      </c>
      <c r="K17" s="82">
        <v>0.58099999999999996</v>
      </c>
      <c r="L17" s="82">
        <v>0.35399999999999998</v>
      </c>
      <c r="M17" s="82">
        <v>0.53500000000000003</v>
      </c>
      <c r="N17" s="82">
        <v>1.06</v>
      </c>
      <c r="S17">
        <f t="shared" si="0"/>
        <v>1.6465116279069767</v>
      </c>
      <c r="T17">
        <f t="shared" si="0"/>
        <v>1.6310975609756098</v>
      </c>
      <c r="U17">
        <f t="shared" si="0"/>
        <v>1.8244406196213427</v>
      </c>
    </row>
    <row r="18" spans="1:21" ht="15.75" x14ac:dyDescent="0.25">
      <c r="A18" s="83">
        <v>0</v>
      </c>
      <c r="B18" s="84">
        <v>0</v>
      </c>
      <c r="C18" s="84">
        <v>0</v>
      </c>
      <c r="D18" s="84">
        <v>0</v>
      </c>
      <c r="E18" s="80">
        <v>10</v>
      </c>
      <c r="F18" s="85">
        <v>0</v>
      </c>
      <c r="G18" s="85">
        <v>0</v>
      </c>
      <c r="H18" s="85">
        <v>0</v>
      </c>
      <c r="I18" s="86"/>
      <c r="J18" s="86"/>
      <c r="K18" s="86"/>
      <c r="L18" s="86"/>
      <c r="M18" s="86"/>
      <c r="N18" s="86"/>
      <c r="O18" s="87">
        <v>0.59</v>
      </c>
      <c r="P18" s="87">
        <v>1.52</v>
      </c>
      <c r="Q18" s="88">
        <v>6.3</v>
      </c>
    </row>
    <row r="19" spans="1:21" ht="15.75" x14ac:dyDescent="0.25">
      <c r="A19" s="89">
        <v>0</v>
      </c>
      <c r="B19" s="76">
        <v>0</v>
      </c>
      <c r="C19" s="76">
        <v>0</v>
      </c>
      <c r="D19" s="76">
        <v>0</v>
      </c>
      <c r="E19" s="75">
        <v>25</v>
      </c>
      <c r="F19" s="77">
        <v>0</v>
      </c>
      <c r="G19" s="77">
        <v>0</v>
      </c>
      <c r="H19" s="77">
        <v>0</v>
      </c>
      <c r="I19" s="90"/>
      <c r="J19" s="90"/>
      <c r="K19" s="90"/>
      <c r="L19" s="90"/>
      <c r="M19" s="90"/>
      <c r="N19" s="90"/>
      <c r="O19" s="91">
        <v>0.46</v>
      </c>
      <c r="P19" s="91">
        <v>1.21</v>
      </c>
      <c r="Q19" s="92">
        <v>3.94</v>
      </c>
    </row>
    <row r="20" spans="1:21" ht="15.75" x14ac:dyDescent="0.25">
      <c r="A20" s="93">
        <v>0</v>
      </c>
      <c r="B20" s="94">
        <v>0</v>
      </c>
      <c r="C20" s="94">
        <v>0</v>
      </c>
      <c r="D20" s="94">
        <v>0</v>
      </c>
      <c r="E20" s="95">
        <v>50</v>
      </c>
      <c r="F20" s="96">
        <v>0</v>
      </c>
      <c r="G20" s="96">
        <v>0</v>
      </c>
      <c r="H20" s="96">
        <v>0</v>
      </c>
      <c r="I20" s="97"/>
      <c r="J20" s="97"/>
      <c r="K20" s="97"/>
      <c r="L20" s="97"/>
      <c r="M20" s="97"/>
      <c r="N20" s="97"/>
      <c r="O20" s="98">
        <v>1.18</v>
      </c>
      <c r="P20" s="98">
        <v>3.5</v>
      </c>
      <c r="Q20" s="99">
        <v>12.73</v>
      </c>
    </row>
    <row r="21" spans="1:21" ht="15.75" x14ac:dyDescent="0.25">
      <c r="A21" s="83">
        <v>0</v>
      </c>
      <c r="B21" s="84">
        <v>0</v>
      </c>
      <c r="C21" s="84">
        <v>0</v>
      </c>
      <c r="D21" s="84">
        <v>0</v>
      </c>
      <c r="E21" s="84">
        <v>0</v>
      </c>
      <c r="F21" s="100">
        <v>10</v>
      </c>
      <c r="G21" s="85">
        <v>0</v>
      </c>
      <c r="H21" s="85">
        <v>0</v>
      </c>
      <c r="I21" s="86"/>
      <c r="J21" s="86"/>
      <c r="K21" s="86"/>
      <c r="L21" s="86"/>
      <c r="M21" s="86"/>
      <c r="N21" s="86"/>
      <c r="O21" s="87">
        <v>1.19</v>
      </c>
      <c r="P21" s="87">
        <v>16.07</v>
      </c>
      <c r="Q21" s="88">
        <v>32.96</v>
      </c>
    </row>
    <row r="22" spans="1:21" ht="15.75" x14ac:dyDescent="0.25">
      <c r="A22" s="89">
        <v>0</v>
      </c>
      <c r="B22" s="76">
        <v>0</v>
      </c>
      <c r="C22" s="76">
        <v>0</v>
      </c>
      <c r="D22" s="76">
        <v>0</v>
      </c>
      <c r="E22" s="76">
        <v>0</v>
      </c>
      <c r="F22" s="60">
        <v>25</v>
      </c>
      <c r="G22" s="77">
        <v>0</v>
      </c>
      <c r="H22" s="77">
        <v>0</v>
      </c>
      <c r="I22" s="90"/>
      <c r="J22" s="90"/>
      <c r="K22" s="90"/>
      <c r="L22" s="90"/>
      <c r="M22" s="90"/>
      <c r="N22" s="90"/>
      <c r="O22" s="91">
        <v>0.66</v>
      </c>
      <c r="P22" s="91">
        <v>1.41</v>
      </c>
      <c r="Q22" s="92">
        <v>5.34</v>
      </c>
    </row>
    <row r="23" spans="1:21" ht="15.75" x14ac:dyDescent="0.25">
      <c r="A23" s="93">
        <v>0</v>
      </c>
      <c r="B23" s="94">
        <v>0</v>
      </c>
      <c r="C23" s="94">
        <v>0</v>
      </c>
      <c r="D23" s="94">
        <v>0</v>
      </c>
      <c r="E23" s="94">
        <v>0</v>
      </c>
      <c r="F23" s="101">
        <v>50</v>
      </c>
      <c r="G23" s="96">
        <v>0</v>
      </c>
      <c r="H23" s="96">
        <v>0</v>
      </c>
      <c r="I23" s="97"/>
      <c r="J23" s="97"/>
      <c r="K23" s="97"/>
      <c r="L23" s="97"/>
      <c r="M23" s="97"/>
      <c r="N23" s="97"/>
      <c r="O23" s="98">
        <v>0.56999999999999995</v>
      </c>
      <c r="P23" s="98">
        <v>1.84</v>
      </c>
      <c r="Q23" s="99">
        <v>6.22</v>
      </c>
    </row>
    <row r="24" spans="1:21" ht="15.75" x14ac:dyDescent="0.25">
      <c r="A24" s="93">
        <v>0</v>
      </c>
      <c r="B24" s="93">
        <v>0</v>
      </c>
      <c r="C24" s="93">
        <v>0</v>
      </c>
      <c r="D24" s="93">
        <v>0</v>
      </c>
      <c r="E24" s="93">
        <v>0</v>
      </c>
      <c r="F24" s="93">
        <v>0</v>
      </c>
      <c r="G24" s="60">
        <v>10</v>
      </c>
      <c r="H24" s="60">
        <v>0</v>
      </c>
      <c r="I24" s="78"/>
      <c r="J24" s="78"/>
      <c r="K24" s="78"/>
      <c r="L24" s="78"/>
      <c r="M24" s="78"/>
      <c r="N24" s="78"/>
      <c r="O24" s="102">
        <v>0.35</v>
      </c>
      <c r="P24" s="102">
        <v>4.32</v>
      </c>
      <c r="Q24" s="103">
        <v>14.38</v>
      </c>
    </row>
    <row r="25" spans="1:21" ht="15.75" x14ac:dyDescent="0.25">
      <c r="A25" s="93">
        <v>0</v>
      </c>
      <c r="B25" s="93">
        <v>0</v>
      </c>
      <c r="C25" s="93">
        <v>0</v>
      </c>
      <c r="D25" s="93">
        <v>0</v>
      </c>
      <c r="E25" s="93">
        <v>0</v>
      </c>
      <c r="F25" s="93">
        <v>0</v>
      </c>
      <c r="G25" s="60">
        <v>25</v>
      </c>
      <c r="H25" s="60">
        <v>0</v>
      </c>
      <c r="I25" s="78"/>
      <c r="J25" s="78"/>
      <c r="K25" s="78"/>
      <c r="L25" s="78"/>
      <c r="M25" s="78"/>
      <c r="N25" s="78"/>
      <c r="O25" s="102">
        <v>0.31</v>
      </c>
      <c r="P25" s="102">
        <v>8.06</v>
      </c>
      <c r="Q25" s="103">
        <v>19.02</v>
      </c>
    </row>
    <row r="26" spans="1:21" ht="15.75" x14ac:dyDescent="0.25">
      <c r="A26" s="93">
        <v>0</v>
      </c>
      <c r="B26" s="93">
        <v>0</v>
      </c>
      <c r="C26" s="93">
        <v>0</v>
      </c>
      <c r="D26" s="93">
        <v>0</v>
      </c>
      <c r="E26" s="93">
        <v>0</v>
      </c>
      <c r="F26" s="93">
        <v>0</v>
      </c>
      <c r="G26" s="60">
        <v>50</v>
      </c>
      <c r="H26" s="60">
        <v>0</v>
      </c>
      <c r="I26" s="78"/>
      <c r="J26" s="78"/>
      <c r="K26" s="78"/>
      <c r="L26" s="78"/>
      <c r="M26" s="78"/>
      <c r="N26" s="78"/>
      <c r="O26" s="102">
        <v>0.34</v>
      </c>
      <c r="P26" s="102">
        <v>1.1100000000000001</v>
      </c>
      <c r="Q26" s="103">
        <v>2.14</v>
      </c>
    </row>
    <row r="27" spans="1:21" ht="16.5" thickBot="1" x14ac:dyDescent="0.3">
      <c r="D27" s="104"/>
      <c r="I27" s="26"/>
      <c r="J27" s="26"/>
      <c r="K27" s="26"/>
      <c r="L27" s="26"/>
      <c r="M27" s="26"/>
      <c r="N27" s="27"/>
    </row>
    <row r="28" spans="1:21" ht="16.5" thickBot="1" x14ac:dyDescent="0.3">
      <c r="D28" s="104"/>
      <c r="I28" s="26"/>
      <c r="J28" s="26"/>
      <c r="K28" s="26"/>
      <c r="L28" s="26"/>
      <c r="M28" s="26"/>
      <c r="N28" s="27"/>
    </row>
    <row r="29" spans="1:21" ht="16.5" thickBot="1" x14ac:dyDescent="0.3">
      <c r="D29" s="104"/>
      <c r="I29" s="26"/>
      <c r="J29" s="26"/>
      <c r="K29" s="26"/>
      <c r="L29" s="26"/>
      <c r="M29" s="26"/>
      <c r="N29" s="27"/>
    </row>
    <row r="37" spans="6:13" ht="15.75" thickBot="1" x14ac:dyDescent="0.3">
      <c r="F37" s="26"/>
      <c r="G37" s="26"/>
      <c r="H37" s="26"/>
      <c r="I37" s="26"/>
      <c r="J37" s="27"/>
      <c r="K37" s="26"/>
      <c r="L37" s="26"/>
      <c r="M37" s="27"/>
    </row>
  </sheetData>
  <mergeCells count="3">
    <mergeCell ref="I2:K2"/>
    <mergeCell ref="L2:N2"/>
    <mergeCell ref="O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8DED-0B56-4100-923A-38B6896159B0}">
  <dimension ref="A1:AB27"/>
  <sheetViews>
    <sheetView workbookViewId="0">
      <selection activeCell="O21" sqref="O21"/>
    </sheetView>
  </sheetViews>
  <sheetFormatPr defaultRowHeight="15" x14ac:dyDescent="0.25"/>
  <cols>
    <col min="3" max="3" width="7.85546875" customWidth="1"/>
    <col min="4" max="4" width="10.85546875" customWidth="1"/>
    <col min="5" max="5" width="11.42578125" customWidth="1"/>
    <col min="6" max="6" width="8" customWidth="1"/>
    <col min="7" max="7" width="6.7109375" customWidth="1"/>
    <col min="8" max="8" width="8.42578125" customWidth="1"/>
    <col min="9" max="9" width="9.7109375" customWidth="1"/>
    <col min="10" max="10" width="7.7109375" customWidth="1"/>
    <col min="11" max="11" width="7.28515625" customWidth="1"/>
    <col min="15" max="15" width="13.140625" bestFit="1" customWidth="1"/>
    <col min="17" max="17" width="13.140625" bestFit="1" customWidth="1"/>
    <col min="21" max="21" width="2.28515625" customWidth="1"/>
    <col min="25" max="25" width="1.5703125" customWidth="1"/>
  </cols>
  <sheetData>
    <row r="1" spans="1:28" x14ac:dyDescent="0.25">
      <c r="V1" t="s">
        <v>72</v>
      </c>
    </row>
    <row r="2" spans="1:28" ht="47.25" x14ac:dyDescent="0.25">
      <c r="A2" s="49" t="s">
        <v>0</v>
      </c>
      <c r="B2" s="49" t="s">
        <v>71</v>
      </c>
      <c r="C2" s="49" t="s">
        <v>73</v>
      </c>
      <c r="D2" s="49" t="s">
        <v>74</v>
      </c>
      <c r="E2" s="49" t="s">
        <v>75</v>
      </c>
      <c r="F2" s="49" t="s">
        <v>76</v>
      </c>
      <c r="G2" s="49" t="s">
        <v>21</v>
      </c>
      <c r="H2" s="49" t="s">
        <v>70</v>
      </c>
      <c r="I2" s="41" t="s">
        <v>24</v>
      </c>
      <c r="J2" s="46" t="s">
        <v>26</v>
      </c>
      <c r="K2" s="46" t="s">
        <v>27</v>
      </c>
      <c r="L2" s="134" t="s">
        <v>3</v>
      </c>
      <c r="M2" s="134"/>
      <c r="N2" s="134"/>
      <c r="O2" s="134" t="s">
        <v>68</v>
      </c>
      <c r="P2" s="134"/>
      <c r="Q2" s="134"/>
      <c r="R2" s="134" t="s">
        <v>69</v>
      </c>
      <c r="S2" s="134"/>
      <c r="T2" s="134"/>
      <c r="V2" t="s">
        <v>68</v>
      </c>
      <c r="Z2" t="s">
        <v>69</v>
      </c>
    </row>
    <row r="3" spans="1:28" ht="15.75" x14ac:dyDescent="0.25">
      <c r="A3" s="40"/>
      <c r="B3" s="42"/>
      <c r="C3" s="42"/>
      <c r="D3" s="42"/>
      <c r="E3" s="42"/>
      <c r="F3" s="42"/>
      <c r="G3" s="42"/>
      <c r="H3" s="42"/>
      <c r="I3" s="42"/>
      <c r="J3" s="40"/>
      <c r="K3" s="40"/>
      <c r="L3" s="48" t="s">
        <v>6</v>
      </c>
      <c r="M3" s="48" t="s">
        <v>7</v>
      </c>
      <c r="N3" s="48" t="s">
        <v>8</v>
      </c>
      <c r="O3" s="48" t="s">
        <v>6</v>
      </c>
      <c r="P3" s="48" t="s">
        <v>7</v>
      </c>
      <c r="Q3" s="48" t="s">
        <v>8</v>
      </c>
      <c r="R3" s="48" t="s">
        <v>6</v>
      </c>
      <c r="S3" s="48" t="s">
        <v>7</v>
      </c>
      <c r="T3" s="48" t="s">
        <v>8</v>
      </c>
    </row>
    <row r="4" spans="1:28" ht="16.5" thickBot="1" x14ac:dyDescent="0.3">
      <c r="A4" s="43"/>
      <c r="B4" s="40">
        <v>0.32</v>
      </c>
      <c r="C4" s="50">
        <v>1</v>
      </c>
      <c r="D4" s="51">
        <v>0</v>
      </c>
      <c r="E4" s="51">
        <v>0</v>
      </c>
      <c r="F4" s="51">
        <v>0</v>
      </c>
      <c r="G4" s="51">
        <v>0</v>
      </c>
      <c r="H4" s="51">
        <v>0</v>
      </c>
      <c r="I4" s="51">
        <v>0</v>
      </c>
      <c r="J4" s="51">
        <v>0</v>
      </c>
      <c r="K4" s="51">
        <v>0</v>
      </c>
      <c r="L4" s="50">
        <v>0.308</v>
      </c>
      <c r="M4" s="50">
        <v>1.2709999999999999</v>
      </c>
      <c r="N4" s="50">
        <v>11.48</v>
      </c>
      <c r="O4" s="52">
        <v>0.39100000000000001</v>
      </c>
      <c r="P4" s="52">
        <v>1.734</v>
      </c>
      <c r="Q4" s="52">
        <v>10.81</v>
      </c>
      <c r="R4" s="53">
        <v>0.878</v>
      </c>
      <c r="S4" s="53">
        <v>1.69</v>
      </c>
      <c r="T4" s="53">
        <v>25.79</v>
      </c>
      <c r="V4">
        <f>O4/L4</f>
        <v>1.2694805194805197</v>
      </c>
      <c r="W4">
        <f>P4/M4</f>
        <v>1.3642800944138473</v>
      </c>
      <c r="X4">
        <f>Q4/N4</f>
        <v>0.94163763066202089</v>
      </c>
      <c r="Z4">
        <f>R4/L4</f>
        <v>2.8506493506493507</v>
      </c>
      <c r="AA4">
        <f>S4/M4</f>
        <v>1.3296616837136115</v>
      </c>
      <c r="AB4">
        <f>T4/N4</f>
        <v>2.2465156794425085</v>
      </c>
    </row>
    <row r="5" spans="1:28" ht="16.5" thickBot="1" x14ac:dyDescent="0.3">
      <c r="A5" s="43"/>
      <c r="B5" s="40">
        <v>0.32</v>
      </c>
      <c r="C5" s="50">
        <v>10</v>
      </c>
      <c r="D5" s="51">
        <v>0</v>
      </c>
      <c r="E5" s="51">
        <v>0</v>
      </c>
      <c r="F5" s="51">
        <v>0</v>
      </c>
      <c r="G5" s="51">
        <v>0</v>
      </c>
      <c r="H5" s="51">
        <v>0</v>
      </c>
      <c r="I5" s="51">
        <v>0</v>
      </c>
      <c r="J5" s="51">
        <v>0</v>
      </c>
      <c r="K5" s="51">
        <v>0</v>
      </c>
      <c r="L5" s="50">
        <v>0.32300000000000001</v>
      </c>
      <c r="M5" s="50">
        <v>2.7650000000000001</v>
      </c>
      <c r="N5" s="50">
        <v>14.78</v>
      </c>
      <c r="O5" s="52">
        <v>0.38</v>
      </c>
      <c r="P5" s="52">
        <v>1.897</v>
      </c>
      <c r="Q5" s="54">
        <v>15.88</v>
      </c>
      <c r="R5" s="55">
        <v>1</v>
      </c>
      <c r="S5" s="55">
        <v>2.08</v>
      </c>
      <c r="T5" s="55">
        <v>17.93</v>
      </c>
      <c r="V5">
        <f t="shared" ref="V5:X24" si="0">O5/L5</f>
        <v>1.1764705882352942</v>
      </c>
      <c r="W5">
        <f t="shared" si="0"/>
        <v>0.6860759493670886</v>
      </c>
      <c r="X5">
        <f t="shared" si="0"/>
        <v>1.0744248985115021</v>
      </c>
      <c r="Z5">
        <f t="shared" ref="Z5:AB17" si="1">R5/L5</f>
        <v>3.0959752321981422</v>
      </c>
      <c r="AA5">
        <f t="shared" si="1"/>
        <v>0.75226039783001808</v>
      </c>
      <c r="AB5">
        <f t="shared" si="1"/>
        <v>1.2131258457374832</v>
      </c>
    </row>
    <row r="6" spans="1:28" ht="16.5" thickBot="1" x14ac:dyDescent="0.3">
      <c r="A6" s="44"/>
      <c r="B6" s="40">
        <v>0.32</v>
      </c>
      <c r="C6" s="56">
        <v>25</v>
      </c>
      <c r="D6" s="51">
        <v>0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6">
        <v>0.311</v>
      </c>
      <c r="M6" s="56">
        <v>1.2849999999999999</v>
      </c>
      <c r="N6" s="56">
        <v>6.4630000000000001</v>
      </c>
      <c r="O6" s="57">
        <v>0.34599999999999997</v>
      </c>
      <c r="P6" s="57">
        <v>1.1060000000000001</v>
      </c>
      <c r="Q6" s="57">
        <v>6.94</v>
      </c>
      <c r="R6" s="57">
        <v>0.47</v>
      </c>
      <c r="S6" s="57">
        <v>1.56</v>
      </c>
      <c r="T6" s="57">
        <v>15.81</v>
      </c>
      <c r="V6">
        <f t="shared" si="0"/>
        <v>1.112540192926045</v>
      </c>
      <c r="W6">
        <f t="shared" si="0"/>
        <v>0.86070038910505853</v>
      </c>
      <c r="X6">
        <f t="shared" si="0"/>
        <v>1.0738047346433546</v>
      </c>
      <c r="Z6">
        <f t="shared" si="1"/>
        <v>1.5112540192926045</v>
      </c>
      <c r="AA6">
        <f t="shared" si="1"/>
        <v>1.2140077821011674</v>
      </c>
      <c r="AB6">
        <f t="shared" si="1"/>
        <v>2.4462323998143276</v>
      </c>
    </row>
    <row r="7" spans="1:28" ht="16.5" thickBot="1" x14ac:dyDescent="0.3">
      <c r="A7" s="43"/>
      <c r="B7" s="40">
        <v>0.32</v>
      </c>
      <c r="C7" s="50">
        <v>50</v>
      </c>
      <c r="D7" s="51">
        <v>0</v>
      </c>
      <c r="E7" s="51">
        <v>0</v>
      </c>
      <c r="F7" s="51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0">
        <v>0.34599999999999997</v>
      </c>
      <c r="M7" s="50">
        <v>1.236</v>
      </c>
      <c r="N7" s="50">
        <v>5</v>
      </c>
      <c r="O7" s="58">
        <v>1.022</v>
      </c>
      <c r="P7" s="52">
        <v>1.9219999999999999</v>
      </c>
      <c r="Q7" s="52">
        <v>5.508</v>
      </c>
      <c r="R7" s="55">
        <v>1.37</v>
      </c>
      <c r="S7" s="55">
        <v>2.5</v>
      </c>
      <c r="T7" s="55">
        <v>18.37</v>
      </c>
      <c r="V7">
        <f t="shared" si="0"/>
        <v>2.9537572254335265</v>
      </c>
      <c r="W7">
        <f t="shared" si="0"/>
        <v>1.5550161812297734</v>
      </c>
      <c r="X7">
        <f t="shared" si="0"/>
        <v>1.1015999999999999</v>
      </c>
      <c r="Z7">
        <f t="shared" si="1"/>
        <v>3.959537572254336</v>
      </c>
      <c r="AA7">
        <f t="shared" si="1"/>
        <v>2.0226537216828477</v>
      </c>
      <c r="AB7">
        <f t="shared" si="1"/>
        <v>3.6740000000000004</v>
      </c>
    </row>
    <row r="8" spans="1:28" ht="16.5" thickBot="1" x14ac:dyDescent="0.3">
      <c r="A8" s="43"/>
      <c r="B8" s="40"/>
      <c r="C8" s="65">
        <v>75</v>
      </c>
      <c r="D8" s="51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66">
        <v>0.35679761728012499</v>
      </c>
      <c r="M8" s="66">
        <v>1.2402682006391099</v>
      </c>
      <c r="N8" s="66">
        <v>4.7337886083488003</v>
      </c>
      <c r="O8" s="67">
        <v>1.1925528463761701</v>
      </c>
      <c r="P8" s="68">
        <v>2.24639722828744</v>
      </c>
      <c r="Q8" s="68">
        <v>5.2562010387845</v>
      </c>
      <c r="R8" s="69">
        <v>1.67367610251577</v>
      </c>
      <c r="S8" s="69">
        <v>2.8118701992320698</v>
      </c>
      <c r="T8" s="69">
        <v>18.239359793273898</v>
      </c>
    </row>
    <row r="9" spans="1:28" ht="16.5" thickBot="1" x14ac:dyDescent="0.3">
      <c r="A9" s="43"/>
      <c r="B9" s="40"/>
      <c r="C9" s="65">
        <v>100</v>
      </c>
      <c r="D9" s="51">
        <v>0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66">
        <v>0.36307850625680999</v>
      </c>
      <c r="M9" s="66">
        <v>1.21493602143831</v>
      </c>
      <c r="N9" s="66">
        <v>4.4523441411847999</v>
      </c>
      <c r="O9" s="67">
        <v>1.2766389978978501</v>
      </c>
      <c r="P9" s="68">
        <v>2.4563583858804501</v>
      </c>
      <c r="Q9" s="68">
        <v>4.9701395802100299</v>
      </c>
      <c r="R9" s="69">
        <v>1.8557289440114</v>
      </c>
      <c r="S9" s="69">
        <v>2.9971615368168298</v>
      </c>
      <c r="T9" s="69">
        <v>17.674441248714999</v>
      </c>
    </row>
    <row r="10" spans="1:28" ht="16.5" thickBot="1" x14ac:dyDescent="0.3">
      <c r="A10" s="43"/>
      <c r="B10" s="40">
        <v>0.32</v>
      </c>
      <c r="C10" s="50">
        <v>0</v>
      </c>
      <c r="D10" s="52">
        <v>1</v>
      </c>
      <c r="E10" s="51">
        <v>0</v>
      </c>
      <c r="F10" s="51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2">
        <v>0.32600000000000001</v>
      </c>
      <c r="M10" s="52">
        <v>1.175</v>
      </c>
      <c r="N10" s="52">
        <v>3.226</v>
      </c>
      <c r="O10" s="52">
        <v>0.28599999999999998</v>
      </c>
      <c r="P10" s="52">
        <v>1.3149999999999999</v>
      </c>
      <c r="Q10" s="52">
        <v>2.387</v>
      </c>
      <c r="R10" s="59">
        <v>1.32</v>
      </c>
      <c r="S10" s="59">
        <v>1.89</v>
      </c>
      <c r="T10" s="59">
        <v>6.25</v>
      </c>
      <c r="V10">
        <f t="shared" si="0"/>
        <v>0.87730061349693245</v>
      </c>
      <c r="W10">
        <f t="shared" si="0"/>
        <v>1.1191489361702127</v>
      </c>
      <c r="X10">
        <f t="shared" si="0"/>
        <v>0.73992560446373223</v>
      </c>
      <c r="Z10">
        <f t="shared" si="1"/>
        <v>4.0490797546012267</v>
      </c>
      <c r="AA10">
        <f t="shared" si="1"/>
        <v>1.6085106382978722</v>
      </c>
      <c r="AB10">
        <f t="shared" si="1"/>
        <v>1.9373837569745815</v>
      </c>
    </row>
    <row r="11" spans="1:28" ht="16.5" thickBot="1" x14ac:dyDescent="0.3">
      <c r="A11" s="43"/>
      <c r="B11" s="40">
        <v>0.32</v>
      </c>
      <c r="C11" s="50">
        <v>0</v>
      </c>
      <c r="D11" s="52">
        <v>10</v>
      </c>
      <c r="E11" s="51">
        <v>0</v>
      </c>
      <c r="F11" s="51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2">
        <v>0.372</v>
      </c>
      <c r="M11" s="52">
        <v>1.591</v>
      </c>
      <c r="N11" s="52">
        <v>7.1630000000000003</v>
      </c>
      <c r="O11" s="52">
        <v>0.29399999999999998</v>
      </c>
      <c r="P11" s="52">
        <v>1.734</v>
      </c>
      <c r="Q11" s="58">
        <v>2.7370000000000001</v>
      </c>
      <c r="R11" s="55">
        <v>1.47</v>
      </c>
      <c r="S11" s="55">
        <v>2.33</v>
      </c>
      <c r="T11" s="55">
        <v>3.9</v>
      </c>
      <c r="V11">
        <f t="shared" si="0"/>
        <v>0.79032258064516125</v>
      </c>
      <c r="W11">
        <f t="shared" si="0"/>
        <v>1.0898805782526713</v>
      </c>
      <c r="X11">
        <f t="shared" si="0"/>
        <v>0.38210247103169065</v>
      </c>
      <c r="Z11">
        <f t="shared" si="1"/>
        <v>3.9516129032258065</v>
      </c>
      <c r="AA11">
        <f t="shared" si="1"/>
        <v>1.464487743557511</v>
      </c>
      <c r="AB11">
        <f t="shared" si="1"/>
        <v>0.54446460980036293</v>
      </c>
    </row>
    <row r="12" spans="1:28" ht="16.5" thickBot="1" x14ac:dyDescent="0.3">
      <c r="A12" s="43"/>
      <c r="B12" s="40">
        <v>0.32</v>
      </c>
      <c r="C12" s="50">
        <v>0</v>
      </c>
      <c r="D12" s="57">
        <v>25</v>
      </c>
      <c r="E12" s="51">
        <v>0</v>
      </c>
      <c r="F12" s="51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7">
        <v>0.35799999999999998</v>
      </c>
      <c r="M12" s="58">
        <v>1.44</v>
      </c>
      <c r="N12" s="57">
        <v>6.29</v>
      </c>
      <c r="O12" s="57">
        <v>0.248</v>
      </c>
      <c r="P12" s="58">
        <v>1.601</v>
      </c>
      <c r="Q12" s="57">
        <v>6.28</v>
      </c>
      <c r="R12" s="55">
        <v>1.27</v>
      </c>
      <c r="S12" s="55">
        <v>2.0499999999999998</v>
      </c>
      <c r="T12" s="55">
        <v>7.81</v>
      </c>
      <c r="V12">
        <f t="shared" si="0"/>
        <v>0.69273743016759781</v>
      </c>
      <c r="W12">
        <f t="shared" si="0"/>
        <v>1.1118055555555555</v>
      </c>
      <c r="X12">
        <f t="shared" si="0"/>
        <v>0.99841017488076311</v>
      </c>
      <c r="Z12">
        <f t="shared" si="1"/>
        <v>3.5474860335195531</v>
      </c>
      <c r="AA12">
        <f t="shared" si="1"/>
        <v>1.4236111111111109</v>
      </c>
      <c r="AB12">
        <f t="shared" si="1"/>
        <v>1.2416534181240062</v>
      </c>
    </row>
    <row r="13" spans="1:28" ht="16.5" thickBot="1" x14ac:dyDescent="0.3">
      <c r="A13" s="43"/>
      <c r="B13" s="40">
        <v>0.32</v>
      </c>
      <c r="C13" s="50">
        <v>0</v>
      </c>
      <c r="D13" s="52">
        <v>50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2">
        <v>0.34100000000000003</v>
      </c>
      <c r="M13" s="52">
        <v>1.333</v>
      </c>
      <c r="N13" s="52">
        <v>6.4349999999999996</v>
      </c>
      <c r="O13" s="52">
        <v>0.23599999999999999</v>
      </c>
      <c r="P13" s="52">
        <v>1.677</v>
      </c>
      <c r="Q13" s="58">
        <v>3.258</v>
      </c>
      <c r="R13" s="55">
        <v>1.64</v>
      </c>
      <c r="S13" s="55">
        <v>2.61</v>
      </c>
      <c r="T13" s="55">
        <v>10.32</v>
      </c>
      <c r="V13">
        <f t="shared" si="0"/>
        <v>0.69208211143695009</v>
      </c>
      <c r="W13">
        <f t="shared" si="0"/>
        <v>1.2580645161290323</v>
      </c>
      <c r="X13">
        <f t="shared" si="0"/>
        <v>0.50629370629370629</v>
      </c>
      <c r="Z13">
        <f t="shared" si="1"/>
        <v>4.8093841642228732</v>
      </c>
      <c r="AA13">
        <f t="shared" si="1"/>
        <v>1.9579894973743435</v>
      </c>
      <c r="AB13">
        <f t="shared" si="1"/>
        <v>1.6037296037296038</v>
      </c>
    </row>
    <row r="14" spans="1:28" ht="16.5" thickBot="1" x14ac:dyDescent="0.3">
      <c r="A14" s="70"/>
      <c r="B14" s="40"/>
      <c r="C14" s="50"/>
      <c r="D14" s="66">
        <v>75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68">
        <v>0.34954153068330601</v>
      </c>
      <c r="M14" s="68">
        <v>1.53028291346226</v>
      </c>
      <c r="N14" s="68">
        <v>8.5904128722350794</v>
      </c>
      <c r="O14" s="68">
        <v>0.25550184202144399</v>
      </c>
      <c r="P14" s="68">
        <v>1.7877654051363301</v>
      </c>
      <c r="Q14" s="67">
        <v>7.43007717254907</v>
      </c>
      <c r="R14" s="67">
        <v>1.5280288621551401</v>
      </c>
      <c r="S14" s="67">
        <v>2.7163842049436302</v>
      </c>
      <c r="T14" s="69">
        <v>9.3471629521759603</v>
      </c>
    </row>
    <row r="15" spans="1:28" ht="16.5" thickBot="1" x14ac:dyDescent="0.3">
      <c r="A15" s="70"/>
      <c r="B15" s="40"/>
      <c r="C15" s="50"/>
      <c r="D15" s="66">
        <v>100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68">
        <v>0.35154978122078101</v>
      </c>
      <c r="M15" s="68">
        <v>1.5355911969599201</v>
      </c>
      <c r="N15" s="68">
        <v>7.78334202202341</v>
      </c>
      <c r="O15" s="68">
        <v>0.25748134646624599</v>
      </c>
      <c r="P15" s="68">
        <v>1.80361468637863</v>
      </c>
      <c r="Q15" s="67">
        <v>7.0490117876034697</v>
      </c>
      <c r="R15" s="67">
        <v>1.61288543998513</v>
      </c>
      <c r="S15" s="67">
        <v>2.71502336370339</v>
      </c>
      <c r="T15" s="69">
        <v>8.7899861853760797</v>
      </c>
    </row>
    <row r="16" spans="1:28" ht="16.5" thickBot="1" x14ac:dyDescent="0.3">
      <c r="B16" s="40">
        <v>0.32</v>
      </c>
      <c r="C16" s="50">
        <v>0</v>
      </c>
      <c r="D16" s="50">
        <v>0</v>
      </c>
      <c r="E16" s="73">
        <v>1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26">
        <v>0.35</v>
      </c>
      <c r="M16" s="26">
        <v>0.69499999999999995</v>
      </c>
      <c r="N16" s="26">
        <v>1.9179999999999999</v>
      </c>
      <c r="O16" s="26">
        <v>0.55900000000000005</v>
      </c>
      <c r="P16" s="26">
        <v>0.92600000000000005</v>
      </c>
      <c r="Q16" s="27">
        <v>2.0270000000000001</v>
      </c>
      <c r="R16" s="26">
        <v>0.997</v>
      </c>
      <c r="S16" s="27">
        <v>1.5289999999999999</v>
      </c>
      <c r="T16" s="62">
        <v>4.29</v>
      </c>
      <c r="V16">
        <f t="shared" si="0"/>
        <v>1.5971428571428574</v>
      </c>
      <c r="W16">
        <f t="shared" si="0"/>
        <v>1.3323741007194245</v>
      </c>
      <c r="X16">
        <f t="shared" si="0"/>
        <v>1.0568300312825862</v>
      </c>
      <c r="Z16">
        <f t="shared" si="1"/>
        <v>2.8485714285714288</v>
      </c>
      <c r="AA16" s="63">
        <f t="shared" si="1"/>
        <v>2.2000000000000002</v>
      </c>
      <c r="AB16">
        <f t="shared" si="1"/>
        <v>2.2367049009384776</v>
      </c>
    </row>
    <row r="17" spans="2:28" ht="16.5" thickBot="1" x14ac:dyDescent="0.3">
      <c r="B17" s="40">
        <v>0.32</v>
      </c>
      <c r="C17" s="50">
        <v>0</v>
      </c>
      <c r="D17" s="50">
        <v>0</v>
      </c>
      <c r="E17" s="60">
        <v>10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26">
        <v>0.27200000000000002</v>
      </c>
      <c r="M17" s="26">
        <v>0.48399999999999999</v>
      </c>
      <c r="N17" s="26">
        <v>1.1850000000000001</v>
      </c>
      <c r="O17" s="26">
        <v>0.46600000000000003</v>
      </c>
      <c r="P17" s="26">
        <v>1.2450000000000001</v>
      </c>
      <c r="Q17" s="27">
        <v>3.7389999999999999</v>
      </c>
      <c r="R17" s="62">
        <v>0.84</v>
      </c>
      <c r="S17" s="62">
        <v>0.36299999999999999</v>
      </c>
      <c r="T17" s="62">
        <v>1.43</v>
      </c>
      <c r="V17">
        <f t="shared" si="0"/>
        <v>1.713235294117647</v>
      </c>
      <c r="W17">
        <f t="shared" si="0"/>
        <v>2.5723140495867773</v>
      </c>
      <c r="X17">
        <f t="shared" si="0"/>
        <v>3.1552742616033753</v>
      </c>
      <c r="Z17">
        <f t="shared" si="1"/>
        <v>3.0882352941176467</v>
      </c>
      <c r="AA17">
        <f t="shared" si="1"/>
        <v>0.75</v>
      </c>
      <c r="AB17">
        <f t="shared" si="1"/>
        <v>1.2067510548523206</v>
      </c>
    </row>
    <row r="18" spans="2:28" ht="16.5" thickBot="1" x14ac:dyDescent="0.3">
      <c r="B18" s="40">
        <v>0.32</v>
      </c>
      <c r="C18" s="50">
        <v>0</v>
      </c>
      <c r="D18" s="50">
        <v>0</v>
      </c>
      <c r="E18" s="60">
        <v>25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26">
        <v>0.25800000000000001</v>
      </c>
      <c r="M18" s="26">
        <v>0.38300000000000001</v>
      </c>
      <c r="N18" s="26">
        <v>0.60899999999999999</v>
      </c>
      <c r="O18" s="26">
        <v>3.3959999999999999</v>
      </c>
      <c r="P18" s="26">
        <v>7.8630000000000004</v>
      </c>
      <c r="Q18" s="27">
        <v>18.28</v>
      </c>
      <c r="R18" s="74">
        <v>3.4830000000000001</v>
      </c>
      <c r="S18" s="74">
        <v>8.0429999999999993</v>
      </c>
      <c r="T18" s="69">
        <v>20</v>
      </c>
      <c r="V18">
        <f t="shared" si="0"/>
        <v>13.162790697674417</v>
      </c>
      <c r="W18">
        <f t="shared" si="0"/>
        <v>20.530026109660575</v>
      </c>
      <c r="X18">
        <f t="shared" si="0"/>
        <v>30.016420361247949</v>
      </c>
    </row>
    <row r="19" spans="2:28" ht="16.5" thickBot="1" x14ac:dyDescent="0.3">
      <c r="B19" s="40"/>
      <c r="C19" s="50"/>
      <c r="D19" s="50"/>
      <c r="E19" s="71">
        <v>50</v>
      </c>
      <c r="F19" s="51"/>
      <c r="G19" s="51"/>
      <c r="H19" s="51"/>
      <c r="I19" s="51"/>
      <c r="J19" s="51"/>
      <c r="K19" s="51"/>
      <c r="L19" s="26"/>
      <c r="M19" s="26"/>
      <c r="N19" s="26"/>
      <c r="O19" s="26"/>
      <c r="P19" s="26"/>
      <c r="Q19" s="27"/>
    </row>
    <row r="20" spans="2:28" ht="16.5" thickBot="1" x14ac:dyDescent="0.3">
      <c r="B20" s="40"/>
      <c r="C20" s="50"/>
      <c r="D20" s="50"/>
      <c r="E20" s="71">
        <v>75</v>
      </c>
      <c r="F20" s="51"/>
      <c r="G20" s="51"/>
      <c r="H20" s="51"/>
      <c r="I20" s="51"/>
      <c r="J20" s="51"/>
      <c r="K20" s="51"/>
      <c r="L20" s="26"/>
      <c r="M20" s="26"/>
      <c r="N20" s="26"/>
      <c r="O20" s="26"/>
      <c r="P20" s="26"/>
      <c r="Q20" s="27"/>
    </row>
    <row r="21" spans="2:28" ht="16.5" thickBot="1" x14ac:dyDescent="0.3">
      <c r="B21" s="40"/>
      <c r="C21" s="50"/>
      <c r="D21" s="50"/>
      <c r="E21" s="71">
        <v>100</v>
      </c>
      <c r="F21" s="51"/>
      <c r="G21" s="51"/>
      <c r="H21" s="51"/>
      <c r="I21" s="51"/>
      <c r="J21" s="51"/>
      <c r="K21" s="51"/>
      <c r="L21" s="26"/>
      <c r="M21" s="26"/>
      <c r="N21" s="26"/>
      <c r="O21" s="26"/>
      <c r="P21" s="26"/>
      <c r="Q21" s="27"/>
    </row>
    <row r="22" spans="2:28" ht="16.5" thickBot="1" x14ac:dyDescent="0.3">
      <c r="B22" s="40">
        <v>0.32</v>
      </c>
      <c r="C22" s="50">
        <v>0</v>
      </c>
      <c r="D22" s="50">
        <v>0</v>
      </c>
      <c r="E22" s="50">
        <v>0</v>
      </c>
      <c r="F22" s="61">
        <v>1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26">
        <v>0.26700000000000002</v>
      </c>
      <c r="M22" s="26">
        <v>0.44</v>
      </c>
      <c r="N22" s="26">
        <v>1.079</v>
      </c>
      <c r="O22" s="26">
        <v>0.44600000000000001</v>
      </c>
      <c r="P22" s="26">
        <v>0.79300000000000004</v>
      </c>
      <c r="Q22" s="27">
        <v>2.0209999999999999</v>
      </c>
      <c r="V22">
        <f t="shared" si="0"/>
        <v>1.6704119850187265</v>
      </c>
      <c r="W22">
        <f t="shared" si="0"/>
        <v>1.8022727272727272</v>
      </c>
      <c r="X22">
        <f t="shared" si="0"/>
        <v>1.8730305838739574</v>
      </c>
    </row>
    <row r="23" spans="2:28" ht="16.5" thickBot="1" x14ac:dyDescent="0.3">
      <c r="B23" s="40">
        <v>0.32</v>
      </c>
      <c r="C23" s="50">
        <v>0</v>
      </c>
      <c r="D23" s="50">
        <v>0</v>
      </c>
      <c r="E23" s="50">
        <v>0</v>
      </c>
      <c r="F23" s="61">
        <v>10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26">
        <v>0.254</v>
      </c>
      <c r="M23" s="26">
        <v>0.437</v>
      </c>
      <c r="N23" s="26">
        <v>1.7490000000000001</v>
      </c>
      <c r="O23" s="26">
        <v>0.378</v>
      </c>
      <c r="P23" s="26">
        <v>0.58899999999999997</v>
      </c>
      <c r="Q23" s="27">
        <v>1.081</v>
      </c>
      <c r="V23">
        <f t="shared" si="0"/>
        <v>1.4881889763779528</v>
      </c>
      <c r="W23">
        <f t="shared" si="0"/>
        <v>1.3478260869565217</v>
      </c>
      <c r="X23">
        <f t="shared" si="0"/>
        <v>0.61806746712407079</v>
      </c>
    </row>
    <row r="24" spans="2:28" ht="16.5" thickBot="1" x14ac:dyDescent="0.3">
      <c r="B24" s="40">
        <v>0.32</v>
      </c>
      <c r="C24" s="50">
        <v>0</v>
      </c>
      <c r="D24" s="50">
        <v>0</v>
      </c>
      <c r="E24" s="50">
        <v>0</v>
      </c>
      <c r="F24" s="61">
        <v>25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29">
        <v>0.215</v>
      </c>
      <c r="M24" s="29">
        <v>0.32800000000000001</v>
      </c>
      <c r="N24" s="29">
        <v>0.58099999999999996</v>
      </c>
      <c r="O24" s="29">
        <v>0.35399999999999998</v>
      </c>
      <c r="P24" s="29">
        <v>0.53500000000000003</v>
      </c>
      <c r="Q24" s="29">
        <v>1.06</v>
      </c>
      <c r="V24">
        <f t="shared" si="0"/>
        <v>1.6465116279069767</v>
      </c>
      <c r="W24">
        <f t="shared" si="0"/>
        <v>1.6310975609756098</v>
      </c>
      <c r="X24">
        <f t="shared" si="0"/>
        <v>1.8244406196213427</v>
      </c>
    </row>
    <row r="25" spans="2:28" ht="15.75" x14ac:dyDescent="0.25">
      <c r="F25" s="72">
        <v>50</v>
      </c>
    </row>
    <row r="26" spans="2:28" ht="15.75" x14ac:dyDescent="0.25">
      <c r="F26" s="72">
        <v>75</v>
      </c>
    </row>
    <row r="27" spans="2:28" ht="15.75" x14ac:dyDescent="0.25">
      <c r="F27" s="72">
        <v>100</v>
      </c>
    </row>
  </sheetData>
  <mergeCells count="3">
    <mergeCell ref="L2:N2"/>
    <mergeCell ref="O2:Q2"/>
    <mergeCell ref="R2:T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BF32-A510-4EE6-9C78-05F1F88F8836}">
  <dimension ref="A1:AB17"/>
  <sheetViews>
    <sheetView topLeftCell="C1" workbookViewId="0">
      <selection activeCell="H30" sqref="H30"/>
    </sheetView>
  </sheetViews>
  <sheetFormatPr defaultRowHeight="15" x14ac:dyDescent="0.25"/>
  <cols>
    <col min="3" max="3" width="7.85546875" customWidth="1"/>
    <col min="4" max="4" width="10.85546875" customWidth="1"/>
    <col min="5" max="5" width="11.42578125" customWidth="1"/>
    <col min="6" max="6" width="8" customWidth="1"/>
    <col min="7" max="7" width="6.7109375" customWidth="1"/>
    <col min="8" max="8" width="8.42578125" customWidth="1"/>
    <col min="9" max="9" width="9.7109375" customWidth="1"/>
    <col min="10" max="10" width="7.7109375" customWidth="1"/>
    <col min="11" max="11" width="7.28515625" customWidth="1"/>
    <col min="21" max="21" width="2.28515625" customWidth="1"/>
    <col min="25" max="25" width="1.5703125" customWidth="1"/>
  </cols>
  <sheetData>
    <row r="1" spans="1:28" x14ac:dyDescent="0.25">
      <c r="V1" t="s">
        <v>72</v>
      </c>
    </row>
    <row r="2" spans="1:28" ht="31.5" x14ac:dyDescent="0.25">
      <c r="A2" s="45" t="s">
        <v>0</v>
      </c>
      <c r="B2" s="45" t="s">
        <v>71</v>
      </c>
      <c r="C2" s="45" t="s">
        <v>73</v>
      </c>
      <c r="D2" s="45" t="s">
        <v>74</v>
      </c>
      <c r="E2" s="47" t="s">
        <v>75</v>
      </c>
      <c r="F2" s="47" t="s">
        <v>76</v>
      </c>
      <c r="G2" s="45" t="s">
        <v>21</v>
      </c>
      <c r="H2" s="45" t="s">
        <v>70</v>
      </c>
      <c r="I2" s="41" t="s">
        <v>24</v>
      </c>
      <c r="J2" s="46" t="s">
        <v>26</v>
      </c>
      <c r="K2" s="46" t="s">
        <v>27</v>
      </c>
      <c r="L2" s="134" t="s">
        <v>3</v>
      </c>
      <c r="M2" s="134"/>
      <c r="N2" s="134"/>
      <c r="O2" s="134" t="s">
        <v>68</v>
      </c>
      <c r="P2" s="134"/>
      <c r="Q2" s="134"/>
      <c r="R2" s="134" t="s">
        <v>69</v>
      </c>
      <c r="S2" s="134"/>
      <c r="T2" s="134"/>
      <c r="V2" t="s">
        <v>68</v>
      </c>
      <c r="Z2" t="s">
        <v>69</v>
      </c>
    </row>
    <row r="3" spans="1:28" ht="15.75" x14ac:dyDescent="0.25">
      <c r="A3" s="40"/>
      <c r="B3" s="42"/>
      <c r="C3" s="42"/>
      <c r="D3" s="42"/>
      <c r="E3" s="42"/>
      <c r="F3" s="42"/>
      <c r="G3" s="42"/>
      <c r="H3" s="42"/>
      <c r="I3" s="42"/>
      <c r="J3" s="40"/>
      <c r="K3" s="40"/>
      <c r="L3" s="48" t="s">
        <v>6</v>
      </c>
      <c r="M3" s="48" t="s">
        <v>7</v>
      </c>
      <c r="N3" s="48" t="s">
        <v>8</v>
      </c>
      <c r="O3" s="48" t="s">
        <v>6</v>
      </c>
      <c r="P3" s="48" t="s">
        <v>7</v>
      </c>
      <c r="Q3" s="48" t="s">
        <v>8</v>
      </c>
      <c r="R3" s="48" t="s">
        <v>6</v>
      </c>
      <c r="S3" s="48" t="s">
        <v>7</v>
      </c>
      <c r="T3" s="48" t="s">
        <v>8</v>
      </c>
    </row>
    <row r="4" spans="1:28" ht="16.5" thickBot="1" x14ac:dyDescent="0.3">
      <c r="A4" s="43"/>
      <c r="B4" s="40">
        <v>0.32</v>
      </c>
      <c r="C4" s="50">
        <v>1</v>
      </c>
      <c r="D4" s="51">
        <v>0</v>
      </c>
      <c r="E4" s="51">
        <v>0</v>
      </c>
      <c r="F4" s="51">
        <v>0</v>
      </c>
      <c r="G4" s="51">
        <v>0</v>
      </c>
      <c r="H4" s="51">
        <v>0</v>
      </c>
      <c r="I4" s="51">
        <v>0</v>
      </c>
      <c r="J4" s="51">
        <v>0</v>
      </c>
      <c r="K4" s="51">
        <v>0</v>
      </c>
      <c r="L4" s="50">
        <v>0.308</v>
      </c>
      <c r="M4" s="50">
        <v>1.2709999999999999</v>
      </c>
      <c r="N4" s="50">
        <v>11.48</v>
      </c>
      <c r="O4" s="52">
        <v>0.39100000000000001</v>
      </c>
      <c r="P4" s="52">
        <v>1.734</v>
      </c>
      <c r="Q4" s="52">
        <v>10.81</v>
      </c>
      <c r="R4" s="53">
        <v>0.878</v>
      </c>
      <c r="S4" s="53">
        <v>1.69</v>
      </c>
      <c r="T4" s="53">
        <v>25.79</v>
      </c>
      <c r="V4">
        <f>O4/L4</f>
        <v>1.2694805194805197</v>
      </c>
      <c r="W4">
        <f>P4/M4</f>
        <v>1.3642800944138473</v>
      </c>
      <c r="X4">
        <f>Q4/N4</f>
        <v>0.94163763066202089</v>
      </c>
      <c r="Z4">
        <f>R4/L4</f>
        <v>2.8506493506493507</v>
      </c>
      <c r="AA4">
        <f>S4/M4</f>
        <v>1.3296616837136115</v>
      </c>
      <c r="AB4">
        <f>T4/N4</f>
        <v>2.2465156794425085</v>
      </c>
    </row>
    <row r="5" spans="1:28" ht="16.5" thickBot="1" x14ac:dyDescent="0.3">
      <c r="A5" s="43"/>
      <c r="B5" s="40">
        <v>0.32</v>
      </c>
      <c r="C5" s="50">
        <v>10</v>
      </c>
      <c r="D5" s="51">
        <v>0</v>
      </c>
      <c r="E5" s="51">
        <v>0</v>
      </c>
      <c r="F5" s="51">
        <v>0</v>
      </c>
      <c r="G5" s="51">
        <v>0</v>
      </c>
      <c r="H5" s="51">
        <v>0</v>
      </c>
      <c r="I5" s="51">
        <v>0</v>
      </c>
      <c r="J5" s="51">
        <v>0</v>
      </c>
      <c r="K5" s="51">
        <v>0</v>
      </c>
      <c r="L5" s="50">
        <v>0.32300000000000001</v>
      </c>
      <c r="M5" s="50">
        <v>2.7650000000000001</v>
      </c>
      <c r="N5" s="50">
        <v>14.78</v>
      </c>
      <c r="O5" s="52">
        <v>0.38</v>
      </c>
      <c r="P5" s="52">
        <v>1.897</v>
      </c>
      <c r="Q5" s="54">
        <v>15.88</v>
      </c>
      <c r="R5" s="55">
        <v>1</v>
      </c>
      <c r="S5" s="55">
        <v>2.08</v>
      </c>
      <c r="T5" s="55">
        <v>17.93</v>
      </c>
      <c r="V5">
        <f t="shared" ref="V5:V11" si="0">O5/L5</f>
        <v>1.1764705882352942</v>
      </c>
      <c r="W5">
        <f t="shared" ref="W5:W11" si="1">P5/M5</f>
        <v>0.6860759493670886</v>
      </c>
      <c r="X5">
        <f t="shared" ref="X5:X11" si="2">Q5/N5</f>
        <v>1.0744248985115021</v>
      </c>
      <c r="Z5">
        <f t="shared" ref="Z5:Z11" si="3">R5/L5</f>
        <v>3.0959752321981422</v>
      </c>
      <c r="AA5">
        <f t="shared" ref="AA5:AA13" si="4">S5/M5</f>
        <v>0.75226039783001808</v>
      </c>
      <c r="AB5">
        <f t="shared" ref="AB5:AB13" si="5">T5/N5</f>
        <v>1.2131258457374832</v>
      </c>
    </row>
    <row r="6" spans="1:28" ht="16.5" thickBot="1" x14ac:dyDescent="0.3">
      <c r="A6" s="44"/>
      <c r="B6" s="40">
        <v>0.32</v>
      </c>
      <c r="C6" s="56">
        <v>25</v>
      </c>
      <c r="D6" s="51">
        <v>0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6">
        <v>0.311</v>
      </c>
      <c r="M6" s="56">
        <v>1.2849999999999999</v>
      </c>
      <c r="N6" s="56">
        <v>6.4630000000000001</v>
      </c>
      <c r="O6" s="57">
        <v>0.34599999999999997</v>
      </c>
      <c r="P6" s="57">
        <v>1.1060000000000001</v>
      </c>
      <c r="Q6" s="57">
        <v>6.94</v>
      </c>
      <c r="R6" s="57">
        <v>0.47</v>
      </c>
      <c r="S6" s="57">
        <v>1.56</v>
      </c>
      <c r="T6" s="57">
        <v>15.81</v>
      </c>
      <c r="V6">
        <f t="shared" si="0"/>
        <v>1.112540192926045</v>
      </c>
      <c r="W6">
        <f t="shared" si="1"/>
        <v>0.86070038910505853</v>
      </c>
      <c r="X6">
        <f t="shared" si="2"/>
        <v>1.0738047346433546</v>
      </c>
      <c r="Z6">
        <f t="shared" si="3"/>
        <v>1.5112540192926045</v>
      </c>
      <c r="AA6">
        <f t="shared" si="4"/>
        <v>1.2140077821011674</v>
      </c>
      <c r="AB6">
        <f t="shared" si="5"/>
        <v>2.4462323998143276</v>
      </c>
    </row>
    <row r="7" spans="1:28" ht="16.5" thickBot="1" x14ac:dyDescent="0.3">
      <c r="A7" s="43"/>
      <c r="B7" s="40">
        <v>0.32</v>
      </c>
      <c r="C7" s="50">
        <v>50</v>
      </c>
      <c r="D7" s="51">
        <v>0</v>
      </c>
      <c r="E7" s="51">
        <v>0</v>
      </c>
      <c r="F7" s="51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0">
        <v>0.34599999999999997</v>
      </c>
      <c r="M7" s="50">
        <v>1.236</v>
      </c>
      <c r="N7" s="50">
        <v>5</v>
      </c>
      <c r="O7" s="58">
        <v>1.022</v>
      </c>
      <c r="P7" s="52">
        <v>1.9219999999999999</v>
      </c>
      <c r="Q7" s="52">
        <v>5.508</v>
      </c>
      <c r="R7" s="55">
        <v>1.37</v>
      </c>
      <c r="S7" s="55">
        <v>2.5</v>
      </c>
      <c r="T7" s="55">
        <v>18.37</v>
      </c>
      <c r="V7">
        <f t="shared" si="0"/>
        <v>2.9537572254335265</v>
      </c>
      <c r="W7">
        <f t="shared" si="1"/>
        <v>1.5550161812297734</v>
      </c>
      <c r="X7">
        <f t="shared" si="2"/>
        <v>1.1015999999999999</v>
      </c>
      <c r="Z7">
        <f t="shared" si="3"/>
        <v>3.959537572254336</v>
      </c>
      <c r="AA7">
        <f t="shared" si="4"/>
        <v>2.0226537216828477</v>
      </c>
      <c r="AB7">
        <f t="shared" si="5"/>
        <v>3.6740000000000004</v>
      </c>
    </row>
    <row r="8" spans="1:28" ht="16.5" thickBot="1" x14ac:dyDescent="0.3">
      <c r="A8" s="43"/>
      <c r="B8" s="40">
        <v>0.32</v>
      </c>
      <c r="C8" s="50">
        <v>0</v>
      </c>
      <c r="D8" s="52">
        <v>1</v>
      </c>
      <c r="E8" s="51">
        <v>0</v>
      </c>
      <c r="F8" s="51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2">
        <v>0.32600000000000001</v>
      </c>
      <c r="M8" s="52">
        <v>1.175</v>
      </c>
      <c r="N8" s="52">
        <v>3.226</v>
      </c>
      <c r="O8" s="52">
        <v>0.28599999999999998</v>
      </c>
      <c r="P8" s="52">
        <v>1.3149999999999999</v>
      </c>
      <c r="Q8" s="52">
        <v>2.387</v>
      </c>
      <c r="R8" s="59">
        <v>1.32</v>
      </c>
      <c r="S8" s="59">
        <v>1.89</v>
      </c>
      <c r="T8" s="59">
        <v>6.25</v>
      </c>
      <c r="V8">
        <f t="shared" si="0"/>
        <v>0.87730061349693245</v>
      </c>
      <c r="W8">
        <f t="shared" si="1"/>
        <v>1.1191489361702127</v>
      </c>
      <c r="X8">
        <f t="shared" si="2"/>
        <v>0.73992560446373223</v>
      </c>
      <c r="Z8">
        <f t="shared" si="3"/>
        <v>4.0490797546012267</v>
      </c>
      <c r="AA8">
        <f t="shared" si="4"/>
        <v>1.6085106382978722</v>
      </c>
      <c r="AB8">
        <f t="shared" si="5"/>
        <v>1.9373837569745815</v>
      </c>
    </row>
    <row r="9" spans="1:28" ht="16.5" thickBot="1" x14ac:dyDescent="0.3">
      <c r="A9" s="43"/>
      <c r="B9" s="40">
        <v>0.32</v>
      </c>
      <c r="C9" s="50">
        <v>0</v>
      </c>
      <c r="D9" s="52">
        <v>10</v>
      </c>
      <c r="E9" s="51">
        <v>0</v>
      </c>
      <c r="F9" s="51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2">
        <v>0.372</v>
      </c>
      <c r="M9" s="52">
        <v>1.591</v>
      </c>
      <c r="N9" s="52">
        <v>7.1630000000000003</v>
      </c>
      <c r="O9" s="52">
        <v>0.29399999999999998</v>
      </c>
      <c r="P9" s="52">
        <v>1.734</v>
      </c>
      <c r="Q9" s="58">
        <v>2.7370000000000001</v>
      </c>
      <c r="R9" s="55">
        <v>1.47</v>
      </c>
      <c r="S9" s="55">
        <v>2.33</v>
      </c>
      <c r="T9" s="55">
        <v>3.9</v>
      </c>
      <c r="V9">
        <f t="shared" si="0"/>
        <v>0.79032258064516125</v>
      </c>
      <c r="W9">
        <f t="shared" si="1"/>
        <v>1.0898805782526713</v>
      </c>
      <c r="X9">
        <f t="shared" si="2"/>
        <v>0.38210247103169065</v>
      </c>
      <c r="Z9">
        <f t="shared" si="3"/>
        <v>3.9516129032258065</v>
      </c>
      <c r="AA9">
        <f t="shared" si="4"/>
        <v>1.464487743557511</v>
      </c>
      <c r="AB9">
        <f t="shared" si="5"/>
        <v>0.54446460980036293</v>
      </c>
    </row>
    <row r="10" spans="1:28" ht="16.5" thickBot="1" x14ac:dyDescent="0.3">
      <c r="A10" s="43"/>
      <c r="B10" s="40">
        <v>0.32</v>
      </c>
      <c r="C10" s="50">
        <v>0</v>
      </c>
      <c r="D10" s="57">
        <v>25</v>
      </c>
      <c r="E10" s="51">
        <v>0</v>
      </c>
      <c r="F10" s="51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7">
        <v>0.35799999999999998</v>
      </c>
      <c r="M10" s="58">
        <v>1.44</v>
      </c>
      <c r="N10" s="57">
        <v>6.29</v>
      </c>
      <c r="O10" s="57">
        <v>0.248</v>
      </c>
      <c r="P10" s="58">
        <v>1.601</v>
      </c>
      <c r="Q10" s="57">
        <v>6.28</v>
      </c>
      <c r="R10" s="55">
        <v>1.27</v>
      </c>
      <c r="S10" s="55">
        <v>2.0499999999999998</v>
      </c>
      <c r="T10" s="55">
        <v>7.81</v>
      </c>
      <c r="V10">
        <f t="shared" si="0"/>
        <v>0.69273743016759781</v>
      </c>
      <c r="W10">
        <f t="shared" si="1"/>
        <v>1.1118055555555555</v>
      </c>
      <c r="X10">
        <f t="shared" si="2"/>
        <v>0.99841017488076311</v>
      </c>
      <c r="Z10">
        <f t="shared" si="3"/>
        <v>3.5474860335195531</v>
      </c>
      <c r="AA10">
        <f t="shared" si="4"/>
        <v>1.4236111111111109</v>
      </c>
      <c r="AB10">
        <f t="shared" si="5"/>
        <v>1.2416534181240062</v>
      </c>
    </row>
    <row r="11" spans="1:28" ht="16.5" thickBot="1" x14ac:dyDescent="0.3">
      <c r="A11" s="43"/>
      <c r="B11" s="40">
        <v>0.32</v>
      </c>
      <c r="C11" s="50">
        <v>0</v>
      </c>
      <c r="D11" s="52">
        <v>50</v>
      </c>
      <c r="E11" s="51">
        <v>0</v>
      </c>
      <c r="F11" s="51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2">
        <v>0.34100000000000003</v>
      </c>
      <c r="M11" s="52">
        <v>1.333</v>
      </c>
      <c r="N11" s="52">
        <v>6.4349999999999996</v>
      </c>
      <c r="O11" s="52">
        <v>0.23599999999999999</v>
      </c>
      <c r="P11" s="52">
        <v>1.677</v>
      </c>
      <c r="Q11" s="58">
        <v>3.258</v>
      </c>
      <c r="R11" s="55">
        <v>1.64</v>
      </c>
      <c r="S11" s="55">
        <v>2.61</v>
      </c>
      <c r="T11" s="55">
        <v>10.32</v>
      </c>
      <c r="V11">
        <f t="shared" si="0"/>
        <v>0.69208211143695009</v>
      </c>
      <c r="W11">
        <f t="shared" si="1"/>
        <v>1.2580645161290323</v>
      </c>
      <c r="X11">
        <f t="shared" si="2"/>
        <v>0.50629370629370629</v>
      </c>
      <c r="Z11">
        <f t="shared" si="3"/>
        <v>4.8093841642228732</v>
      </c>
      <c r="AA11">
        <f t="shared" si="4"/>
        <v>1.9579894973743435</v>
      </c>
      <c r="AB11">
        <f t="shared" si="5"/>
        <v>1.6037296037296038</v>
      </c>
    </row>
    <row r="12" spans="1:28" ht="16.5" thickBot="1" x14ac:dyDescent="0.3">
      <c r="B12" s="40">
        <v>0.32</v>
      </c>
      <c r="C12" s="50">
        <v>0</v>
      </c>
      <c r="D12" s="50">
        <v>0</v>
      </c>
      <c r="E12" s="26">
        <v>1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26">
        <v>0.35</v>
      </c>
      <c r="M12" s="26">
        <v>0.69499999999999995</v>
      </c>
      <c r="N12" s="26">
        <v>1.9179999999999999</v>
      </c>
      <c r="O12" s="26">
        <v>0.55900000000000005</v>
      </c>
      <c r="P12" s="26">
        <v>0.92600000000000005</v>
      </c>
      <c r="Q12" s="27">
        <v>2.0270000000000001</v>
      </c>
      <c r="R12" s="26">
        <v>0.997</v>
      </c>
      <c r="S12" s="27">
        <v>1.5289999999999999</v>
      </c>
      <c r="T12" s="62">
        <v>4.29</v>
      </c>
      <c r="V12">
        <f t="shared" ref="V12:V17" si="6">O12/L12</f>
        <v>1.5971428571428574</v>
      </c>
      <c r="W12">
        <f t="shared" ref="W12:W17" si="7">P12/M12</f>
        <v>1.3323741007194245</v>
      </c>
      <c r="X12">
        <f t="shared" ref="X12:X17" si="8">Q12/N12</f>
        <v>1.0568300312825862</v>
      </c>
      <c r="Z12">
        <f t="shared" ref="Z12:Z13" si="9">R12/L12</f>
        <v>2.8485714285714288</v>
      </c>
      <c r="AA12" s="63">
        <f t="shared" si="4"/>
        <v>2.2000000000000002</v>
      </c>
      <c r="AB12">
        <f t="shared" si="5"/>
        <v>2.2367049009384776</v>
      </c>
    </row>
    <row r="13" spans="1:28" ht="16.5" thickBot="1" x14ac:dyDescent="0.3">
      <c r="B13" s="40">
        <v>0.32</v>
      </c>
      <c r="C13" s="50">
        <v>0</v>
      </c>
      <c r="D13" s="50">
        <v>0</v>
      </c>
      <c r="E13" s="60">
        <v>10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26">
        <v>0.27200000000000002</v>
      </c>
      <c r="M13" s="26">
        <v>0.48399999999999999</v>
      </c>
      <c r="N13" s="26">
        <v>1.1850000000000001</v>
      </c>
      <c r="O13" s="26">
        <v>0.46600000000000003</v>
      </c>
      <c r="P13" s="26">
        <v>1.2450000000000001</v>
      </c>
      <c r="Q13" s="27">
        <v>3.7389999999999999</v>
      </c>
      <c r="R13" s="62">
        <v>0.84</v>
      </c>
      <c r="S13" s="62">
        <v>0.36299999999999999</v>
      </c>
      <c r="T13" s="62">
        <v>1.43</v>
      </c>
      <c r="V13">
        <f t="shared" si="6"/>
        <v>1.713235294117647</v>
      </c>
      <c r="W13">
        <f t="shared" si="7"/>
        <v>2.5723140495867773</v>
      </c>
      <c r="X13">
        <f t="shared" si="8"/>
        <v>3.1552742616033753</v>
      </c>
      <c r="Z13">
        <f t="shared" si="9"/>
        <v>3.0882352941176467</v>
      </c>
      <c r="AA13">
        <f t="shared" si="4"/>
        <v>0.75</v>
      </c>
      <c r="AB13">
        <f t="shared" si="5"/>
        <v>1.2067510548523206</v>
      </c>
    </row>
    <row r="14" spans="1:28" ht="16.5" thickBot="1" x14ac:dyDescent="0.3">
      <c r="B14" s="40">
        <v>0.32</v>
      </c>
      <c r="C14" s="50">
        <v>0</v>
      </c>
      <c r="D14" s="50">
        <v>0</v>
      </c>
      <c r="E14" s="60">
        <v>25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26">
        <v>0.25800000000000001</v>
      </c>
      <c r="M14" s="26">
        <v>0.38300000000000001</v>
      </c>
      <c r="N14" s="26">
        <v>0.60899999999999999</v>
      </c>
      <c r="O14" s="26">
        <v>3.3959999999999999</v>
      </c>
      <c r="P14" s="26">
        <v>7.8630000000000004</v>
      </c>
      <c r="Q14" s="27">
        <v>18.28</v>
      </c>
      <c r="V14">
        <f t="shared" si="6"/>
        <v>13.162790697674417</v>
      </c>
      <c r="W14">
        <f t="shared" si="7"/>
        <v>20.530026109660575</v>
      </c>
      <c r="X14">
        <f t="shared" si="8"/>
        <v>30.016420361247949</v>
      </c>
    </row>
    <row r="15" spans="1:28" ht="16.5" thickBot="1" x14ac:dyDescent="0.3">
      <c r="B15" s="40">
        <v>0.32</v>
      </c>
      <c r="C15" s="50">
        <v>0</v>
      </c>
      <c r="D15" s="50">
        <v>0</v>
      </c>
      <c r="E15" s="50">
        <v>0</v>
      </c>
      <c r="F15" s="61">
        <v>1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26">
        <v>0.26700000000000002</v>
      </c>
      <c r="M15" s="26">
        <v>0.44</v>
      </c>
      <c r="N15" s="26">
        <v>1.079</v>
      </c>
      <c r="O15" s="26">
        <v>0.44600000000000001</v>
      </c>
      <c r="P15" s="26">
        <v>0.79300000000000004</v>
      </c>
      <c r="Q15" s="27">
        <v>2.0209999999999999</v>
      </c>
      <c r="V15">
        <f t="shared" si="6"/>
        <v>1.6704119850187265</v>
      </c>
      <c r="W15">
        <f t="shared" si="7"/>
        <v>1.8022727272727272</v>
      </c>
      <c r="X15">
        <f t="shared" si="8"/>
        <v>1.8730305838739574</v>
      </c>
    </row>
    <row r="16" spans="1:28" ht="16.5" thickBot="1" x14ac:dyDescent="0.3">
      <c r="B16" s="40">
        <v>0.32</v>
      </c>
      <c r="C16" s="50">
        <v>0</v>
      </c>
      <c r="D16" s="50">
        <v>0</v>
      </c>
      <c r="E16" s="50">
        <v>0</v>
      </c>
      <c r="F16" s="61">
        <v>10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26">
        <v>0.254</v>
      </c>
      <c r="M16" s="26">
        <v>0.437</v>
      </c>
      <c r="N16" s="26">
        <v>1.7490000000000001</v>
      </c>
      <c r="O16" s="26">
        <v>0.378</v>
      </c>
      <c r="P16" s="26">
        <v>0.58899999999999997</v>
      </c>
      <c r="Q16" s="27">
        <v>1.081</v>
      </c>
      <c r="V16">
        <f t="shared" si="6"/>
        <v>1.4881889763779528</v>
      </c>
      <c r="W16">
        <f t="shared" si="7"/>
        <v>1.3478260869565217</v>
      </c>
      <c r="X16">
        <f t="shared" si="8"/>
        <v>0.61806746712407079</v>
      </c>
    </row>
    <row r="17" spans="2:24" ht="16.5" thickBot="1" x14ac:dyDescent="0.3">
      <c r="B17" s="40">
        <v>0.32</v>
      </c>
      <c r="C17" s="50">
        <v>0</v>
      </c>
      <c r="D17" s="50">
        <v>0</v>
      </c>
      <c r="E17" s="50">
        <v>0</v>
      </c>
      <c r="F17" s="61">
        <v>25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29">
        <v>0.215</v>
      </c>
      <c r="M17" s="29">
        <v>0.32800000000000001</v>
      </c>
      <c r="N17" s="29">
        <v>0.58099999999999996</v>
      </c>
      <c r="O17" s="29">
        <v>0.35399999999999998</v>
      </c>
      <c r="P17" s="29">
        <v>0.53500000000000003</v>
      </c>
      <c r="Q17" s="29">
        <v>1.06</v>
      </c>
      <c r="V17">
        <f t="shared" si="6"/>
        <v>1.6465116279069767</v>
      </c>
      <c r="W17">
        <f t="shared" si="7"/>
        <v>1.6310975609756098</v>
      </c>
      <c r="X17">
        <f t="shared" si="8"/>
        <v>1.8244406196213427</v>
      </c>
    </row>
  </sheetData>
  <mergeCells count="3">
    <mergeCell ref="L2:N2"/>
    <mergeCell ref="O2:Q2"/>
    <mergeCell ref="R2:T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Modified_Sheet3</vt:lpstr>
      <vt:lpstr>Modified_Sheet2</vt:lpstr>
      <vt:lpstr>Modified_Sheet1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2018-11-12T03:52:01Z</dcterms:modified>
</cp:coreProperties>
</file>